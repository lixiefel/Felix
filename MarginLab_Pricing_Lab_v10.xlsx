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8.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ETTINGS" sheetId="2" state="visible" r:id="rId4"/>
    <sheet name="OWNER_INPUTS" sheetId="3" state="visible" r:id="rId5"/>
    <sheet name="COMPETITOR_BENCHMARK" sheetId="4" state="visible" r:id="rId6"/>
    <sheet name="OWNER_RESULTS" sheetId="5" state="visible" r:id="rId7"/>
    <sheet name="CATEGORY_PRIORS" sheetId="6" state="visible" r:id="rId8"/>
    <sheet name="PSYCHOLOGY_RULES" sheetId="7" state="visible" r:id="rId9"/>
    <sheet name="MENU_ENGINEERING" sheetId="8" state="visible" r:id="rId10"/>
    <sheet name="SALES_DATA" sheetId="9" state="visible" r:id="rId11"/>
    <sheet name="CALIBRATION" sheetId="10" state="visible" r:id="rId12"/>
    <sheet name="OPTIMIZER" sheetId="11" state="visible" r:id="rId13"/>
    <sheet name="SENSITIVITY" sheetId="12" state="visible" r:id="rId14"/>
    <sheet name="QA_CHECKS" sheetId="13" state="visible" r:id="rId15"/>
  </sheets>
  <definedNames>
    <definedName function="false" hidden="false" localSheetId="9" name="_xlnm.Print_Titles" vbProcedure="false">CALIBRATION!$5:$5</definedName>
    <definedName function="false" hidden="false" localSheetId="5" name="_xlnm.Print_Titles" vbProcedure="false">CATEGORY_PRIORS!$5:$5</definedName>
    <definedName function="false" hidden="false" localSheetId="3" name="_xlnm.Print_Titles" vbProcedure="false">COMPETITOR_BENCHMARK!$1:$8</definedName>
    <definedName function="false" hidden="false" localSheetId="7" name="_xlnm.Print_Titles" vbProcedure="false">MENU_ENGINEERING!$1:$9</definedName>
    <definedName function="false" hidden="false" localSheetId="10" name="_xlnm.Print_Titles" vbProcedure="false">OPTIMIZER!$5:$5</definedName>
    <definedName function="false" hidden="false" localSheetId="2" name="_xlnm.Print_Titles" vbProcedure="false">OWNER_INPUTS!$5:$5</definedName>
    <definedName function="false" hidden="false" localSheetId="4" name="_xlnm.Print_Titles" vbProcedure="false">OWNER_RESULTS!$1:$10</definedName>
    <definedName function="false" hidden="false" localSheetId="12" name="_xlnm.Print_Titles" vbProcedure="false">QA_CHECKS!$1:$5</definedName>
    <definedName function="false" hidden="false" localSheetId="8" name="_xlnm.Print_Titles" vbProcedure="false">SALES_DATA!$5:$5</definedName>
    <definedName function="false" hidden="false" localSheetId="11" name="_xlnm.Print_Titles" vbProcedure="false">SENSITIVITY!$1:$9</definedName>
    <definedName function="false" hidden="false" name="cal_conf" vbProcedure="false">CALIBRATION!$J$6:$J$35</definedName>
    <definedName function="false" hidden="false" name="cal_estimate" vbProcedure="false">CALIBRATION!$L$6:$L$35</definedName>
    <definedName function="false" hidden="false" name="cal_items" vbProcedure="false">CALIBRATION!$B$6:$B$35</definedName>
    <definedName function="false" hidden="false" name="cfg_currency" vbProcedure="false">SETTINGS!$B$4</definedName>
    <definedName function="false" hidden="false" name="cfg_ending" vbProcedure="false">SETTINGS!$B$6</definedName>
    <definedName function="false" hidden="false" name="cfg_max_cut" vbProcedure="false">SETTINGS!$B$10</definedName>
    <definedName function="false" hidden="false" name="cfg_max_raise" vbProcedure="false">SETTINGS!$B$9</definedName>
    <definedName function="false" hidden="false" name="cfg_round_to" vbProcedure="false">SETTINGS!$B$5</definedName>
    <definedName function="false" hidden="false" name="cfg_shr_high" vbProcedure="false">SETTINGS!$B$11</definedName>
    <definedName function="false" hidden="false" name="cfg_shr_low" vbProcedure="false">SETTINGS!$B$13</definedName>
    <definedName function="false" hidden="false" name="cfg_shr_med" vbProcedure="false">SETTINGS!$B$12</definedName>
    <definedName function="false" hidden="false" name="cfg_use_sample" vbProcedure="false">SETTINGS!$B$16</definedName>
    <definedName function="false" hidden="false" name="comp_avg" vbProcedure="false">COMPETITOR_BENCHMARK!$G$9:$G$38</definedName>
    <definedName function="false" hidden="false" name="comp_position" vbProcedure="false">COMPETITOR_BENCHMARK!$K$9:$K$38</definedName>
    <definedName function="false" hidden="false" name="me_action" vbProcedure="false">MENU_ENGINEERING!$L$10:$L$39</definedName>
    <definedName function="false" hidden="false" name="me_quadrant" vbProcedure="false">MENU_ENGINEERING!$K$10:$K$39</definedName>
    <definedName function="false" hidden="false" name="opt_baseline" vbProcedure="false">OPTIMIZER!$X$37</definedName>
    <definedName function="false" hidden="false" name="opt_lift_pct" vbProcedure="false">OPTIMIZER!$X$38</definedName>
    <definedName function="false" hidden="false" name="opt_total_lift" vbProcedure="false">OPTIMIZER!$X$36</definedName>
    <definedName function="false" hidden="false" name="sd_item" vbProcedure="false">SALES_DATA!$D$6:$D$545</definedName>
    <definedName function="false" hidden="false" name="sd_lnp" vbProcedure="false">SALES_DATA!$L$6:$L$545</definedName>
    <definedName function="false" hidden="false" name="sd_lnq" vbProcedure="false">SALES_DATA!$M$6:$M$545</definedName>
    <definedName function="false" hidden="false" name="sd_qty" vbProcedure="false">SALES_DATA!$H$6:$H$545</definedName>
    <definedName function="false" hidden="false" name="sd_sample" vbProcedure="false">SALES_DATA!$E$6:$E$545</definedName>
    <definedName function="false" hidden="false" name="sens_baseline" vbProcedure="false">SENSITIVITY!$I$10:$I$39</definedName>
    <definedName function="false" hidden="false" name="sens_conservative" vbProcedure="false">SENSITIVITY!$H$10:$H$39</definedName>
    <definedName function="false" hidden="false" name="sens_optimistic" vbProcedure="false">SENSITIVITY!$J$10:$J$39</definedName>
    <definedName function="false" hidden="false" name="sens_total_base" vbProcedure="false">SENSITIVITY!$I$40</definedName>
    <definedName function="false" hidden="false" name="sens_total_high" vbProcedure="false">SENSITIVITY!$J$40</definedName>
    <definedName function="false" hidden="false" name="sens_total_low" vbProcedure="false">SENSITIVITY!$H$40</definedName>
    <definedName function="false" hidden="false" name="tbl_inputs" vbProcedure="false">OWNER_INPUTS!$B$6:$H$35</definedName>
    <definedName function="false" hidden="false" name="tbl_priors" vbProcedure="false">CATEGORY_PRIORS!$A$6:$E$14</definedName>
    <definedName function="false" hidden="false" name="tbl_roles" vbProcedure="false">PSYCHOLOGY_RULES!$A$7:$F$13</definedName>
    <definedName function="false" hidden="false" name="tbl_thr_idr" vbProcedure="false">PSYCHOLOGY_RULES!$D$20:$E$27</definedName>
    <definedName function="false" hidden="false" name="tbl_thr_usd" vbProcedure="false">PSYCHOLOGY_RULES!$A$20:$B$27</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This is the smallest unit prices are rounded to. Examples:
• USD/EUR/GBP: typically 0.10 (for prices like 4.30, 4.40, 4.50)
• IDR: typically 500 or 1000
If you set a fine step (like 0.01), recommendations may include cent-precise endings.</t>
        </r>
      </text>
    </comment>
    <comment ref="B6" authorId="0">
      <text>
        <r>
          <rPr>
            <sz val="10"/>
            <rFont val="Arial"/>
            <family val="2"/>
          </rPr>
          <t xml:space="preserve">Charm-pricing ending. ".00" = no charm. ".90"/".95"/".99" snap to common psychological endings.
Auto-disabled when round step &gt; 0.50 (i.e., for high-denomination currencies like IDR).
Direction-preserving: charm will never reverse the analytical recommendation. If the model wants a raise but the natural charm point is below the current price, the model falls back to the step-rounded price.</t>
        </r>
      </text>
    </comment>
    <comment ref="B9" authorId="0">
      <text>
        <r>
          <rPr>
            <sz val="10"/>
            <rFont val="Arial"/>
            <family val="2"/>
          </rPr>
          <t xml:space="preserve">Maximum percentage any single item can be raised in one cycle. Default +10% balances opportunity with customer-perception risk.</t>
        </r>
      </text>
    </comment>
    <comment ref="B10" authorId="0">
      <text>
        <r>
          <rPr>
            <sz val="10"/>
            <rFont val="Arial"/>
            <family val="2"/>
          </rPr>
          <t xml:space="preserve">Maximum percentage any single item can be cut in one cycle. Default -5%. A protected traffic driver might be a cut candidate to widen the menu spread.</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D5" authorId="0">
      <text>
        <r>
          <rPr>
            <sz val="10"/>
            <rFont val="Arial"/>
            <family val="2"/>
          </rPr>
          <t xml:space="preserve">Role on the menu — drives the role cap on PSYCHOLOGY_RULES. Pick from dropdown:
• Traffic Driver: entry/visible-price item. Cap: small raises only.
• Core: standard high-volume item. Cap: moderate raises.
• Profit Driver: higher-margin item that can carry more raise.
• Premium Anchor: deliberately expensive reference item.
• Signature: brand-defining item with story/quality justification.
• Complement: items bought alongside the main basket.
• Other: defaults to moderate caps.</t>
        </r>
      </text>
    </comment>
    <comment ref="E5" authorId="0">
      <text>
        <r>
          <rPr>
            <sz val="10"/>
            <rFont val="Arial"/>
            <family val="2"/>
          </rPr>
          <t xml:space="preserve">Variable cost per unit. Include: ingredients, packaging, direct labour (if portioned per item). Exclude: rent, utilities, salaries (those are fixed). A rough estimate is fine for a first pass — refine before final delivery.</t>
        </r>
      </text>
    </comment>
    <comment ref="G5" authorId="0">
      <text>
        <r>
          <rPr>
            <sz val="10"/>
            <rFont val="Arial"/>
            <family val="2"/>
          </rPr>
          <t xml:space="preserve">Best is "last full month" or a representative month (avoid weeks with unusual events like a closure, a holiday, or a major promotion). For seasonal businesses, use an average month.</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How far ABOVE the local market maximum a recommendation must go before being flagged. Default 20%. Tighter (10%) makes the flag fire more often.</t>
        </r>
      </text>
    </comment>
    <comment ref="B6" authorId="0">
      <text>
        <r>
          <rPr>
            <sz val="10"/>
            <rFont val="Arial"/>
            <family val="2"/>
          </rPr>
          <t xml:space="preserve">How far BELOW the local market minimum a recommendation must go before being flagged. Default 20%. Useful for catching under-pricing.</t>
        </r>
      </text>
    </comment>
    <comment ref="D8" authorId="0">
      <text>
        <r>
          <rPr>
            <sz val="10"/>
            <rFont val="Arial"/>
            <family val="2"/>
          </rPr>
          <t xml:space="preserve">Pick 2-3 nearby cafés that compete for the same customers. Prefer concept similarity over chain-vs-independent. For items where market context matters most: traffic drivers, signature items, and anything customers commonly check before ordering.</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5" authorId="0">
      <text>
        <r>
          <rPr>
            <sz val="10"/>
            <rFont val="Arial"/>
            <family val="2"/>
          </rPr>
          <t xml:space="preserve">Sum of per-item ΔProfit per month under the baseline elasticity. Look at the Sensitivity Check at the bottom of this sheet to see how this changes under more or less price-sensitive demand assumptions.</t>
        </r>
      </text>
    </comment>
    <comment ref="G5" authorId="0">
      <text>
        <r>
          <rPr>
            <sz val="10"/>
            <rFont val="Arial"/>
            <family val="2"/>
          </rPr>
          <t xml:space="preserve">Weighted overall confidence tier. HIGH = ship the recommendation now. MEDIUM = run a small pilot first. LOW = the model is mostly using category priors, so test very conservatively.</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The median number of monthly units sold across all configured items. Items at or above this volume are classified as "high popularity."</t>
        </r>
      </text>
    </comment>
    <comment ref="B6" authorId="0">
      <text>
        <r>
          <rPr>
            <sz val="10"/>
            <rFont val="Arial"/>
            <family val="2"/>
          </rPr>
          <t xml:space="preserve">The median margin % across all configured items. Items at or above this margin are classified as "high margin." Together with popularity, these split the menu into the four quadrants.</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Multiplier on the baseline elasticity. Higher values mean customers are MORE price-sensitive. Default 1.2 = 20% more sensitive than estimated. Produces the conservative profit lift estimate.</t>
        </r>
      </text>
    </comment>
    <comment ref="B7" authorId="0">
      <text>
        <r>
          <rPr>
            <sz val="10"/>
            <rFont val="Arial"/>
            <family val="2"/>
          </rPr>
          <t xml:space="preserve">Multiplier on the baseline elasticity. Lower values mean customers are LESS price-sensitive. Default 0.8 = 20% less sensitive than estimated. Produces the optimistic profit lift estimate.</t>
        </r>
      </text>
    </comment>
  </commentList>
</comments>
</file>

<file path=xl/sharedStrings.xml><?xml version="1.0" encoding="utf-8"?>
<sst xmlns="http://schemas.openxmlformats.org/spreadsheetml/2006/main" count="2066" uniqueCount="373">
  <si>
    <t xml:space="preserve">  MarginLab Pricing Lab — Operating Manual</t>
  </si>
  <si>
    <t xml:space="preserve">What this workbook does</t>
  </si>
  <si>
    <t xml:space="preserve">Takes your café menu, your costs, and (optionally) your sales history, and recommends a price for each item that improves profit while respecting psychological pricing rules, role-based caps, and reversibility constraints.</t>
  </si>
  <si>
    <t xml:space="preserve">How to use it (the short version)</t>
  </si>
  <si>
    <t xml:space="preserve">Step 1 — SETTINGS: pick currency, rounding step, ending preference, and guardrails.
Step 2 — OWNER_INPUTS: enter your menu (name, category, role, cost, current price, monthly units).
Step 3 — (optional) COMPETITOR_BENCHMARK: enter prices from 2-3 nearby cafés for items where market context matters.
Step 4 — (optional) SALES_DATA: paste at least 60 daily price+quantity rows per item where you have real history. The model will estimate elasticity from your data.
Step 5 — OWNER_RESULTS: read the headline lift, per-item recommendations, sensitivity check, and any data-quality warnings.
Step 6 — QA_CHECKS: review any FLAG or FAIL items before sharing the file with a client.</t>
  </si>
  <si>
    <t xml:space="preserve">What gets calculated</t>
  </si>
  <si>
    <t xml:space="preserve">For each item: the profit-maximizing price under economic theory (Lerner), shrunk toward current price by a confidence factor, clamped to role and global guardrails, threshold-pulled below psychological round numbers, optionally snapped to charm endings (USD only), and rounded to the configured step. The workbook also computes the menu-engineering quadrant for each item, runs a three-scenario sensitivity analysis on elasticity, and (optionally) compares recommendations against local competitor prices.</t>
  </si>
  <si>
    <t xml:space="preserve">What "confidence" means here</t>
  </si>
  <si>
    <t xml:space="preserve">If you have given the model real daily sales data with genuine price variation, it estimates the price sensitivity of each item statistically and uses the high-confidence path. If you have not (most cafés have not), the model uses category-level priors and the low-confidence path, which produces smaller, more cautious recommendations and labels them "Pilot first."</t>
  </si>
  <si>
    <t xml:space="preserve">Sheets you (the owner) need to touch</t>
  </si>
  <si>
    <t xml:space="preserve">SETTINGS, OWNER_INPUTS, OWNER_RESULTS, and optionally COMPETITOR_BENCHMARK. Everything else is internal machinery — do not edit unless you know exactly what you are doing.</t>
  </si>
  <si>
    <t xml:space="preserve">Sheets the consultant operates</t>
  </si>
  <si>
    <t xml:space="preserve">CATEGORY_PRIORS, PSYCHOLOGY_RULES, MENU_ENGINEERING, SALES_DATA, CALIBRATION, OPTIMIZER, SENSITIVITY, QA_CHECKS. These contain the model. CALIBRATION estimates item elasticities from SALES_DATA when present. OPTIMIZER assembles the final recommendation. SENSITIVITY stress-tests the lift. MENU_ENGINEERING classifies items into Star/Plowhorse/Puzzle/Dog quadrants.</t>
  </si>
  <si>
    <t xml:space="preserve">Colour code</t>
  </si>
  <si>
    <t xml:space="preserve">Blue text = a number you can change. Black text = a formula. Green text = a value pulled from another sheet. Yellow background = a critical input that drives results. Orange background = a warning or low-confidence flag.</t>
  </si>
  <si>
    <t xml:space="preserve">Version</t>
  </si>
  <si>
    <t xml:space="preserve">v10 — adds menu engineering, sensitivity, competitor benchmark, narrative outputs. v9 retired.</t>
  </si>
  <si>
    <t xml:space="preserve">What's new in v10</t>
  </si>
  <si>
    <t xml:space="preserve">Four mechanical fixes from the v9.2 audit: SALES_DATA L/M/I/K are now formulas (so client POS pastes auto-populate), cfg_ending is wired through a direction-preserving charm-pricing layer (so it never reverses the analytical recommendation), the "Best item" callout on OWNER_RESULTS returns an item name instead of a confidence tier, and the lift-% sanity check is two-sided (catches large drops as well as large jumps).
Three new analytical sheets: MENU_ENGINEERING (Star/Plowhorse/Puzzle/Dog classification on median thresholds), SENSITIVITY (conservative/baseline/optimistic profit lift under 1.2× / 1.0× / 0.8× elasticity), and COMPETITOR_BENCHMARK (optional 3-competitor market range with breach flagging).
Five new QA checks: role-cap binding detection, sub-cost items recommended to raise, weighted overall confidence tier, items above local market, dogs in menu, and items losing money under the conservative scenario.
Presentation polish: OWNER_RESULTS now shows the menu-engineering quadrant and market position per item, a per-item plain-language narrative, a sensitivity summary block, and a red data-quality banner that fires whenever a Hard QA check is failing.</t>
  </si>
  <si>
    <t xml:space="preserve">Quick navigation</t>
  </si>
  <si>
    <t xml:space="preserve">Currency, rounding, guardrails, demo toggle</t>
  </si>
  <si>
    <t xml:space="preserve">Your menu — name, category, role, cost, price, monthly units</t>
  </si>
  <si>
    <t xml:space="preserve">(Optional) local competitor prices and market position</t>
  </si>
  <si>
    <t xml:space="preserve">The headline: lift, per-item recommendations, sensitivity</t>
  </si>
  <si>
    <t xml:space="preserve">Default elasticities by category (used when no sales data)</t>
  </si>
  <si>
    <t xml:space="preserve">Role caps and price-threshold pullbacks</t>
  </si>
  <si>
    <t xml:space="preserve">Star / Plowhorse / Puzzle / Dog classification</t>
  </si>
  <si>
    <t xml:space="preserve">(Optional) daily sales for elasticity estimation</t>
  </si>
  <si>
    <t xml:space="preserve">Per-item elasticity estimates with confidence intervals</t>
  </si>
  <si>
    <t xml:space="preserve">Full Lerner → shrinkage → caps → rounding pipeline</t>
  </si>
  <si>
    <t xml:space="preserve">Conservative / Baseline / Optimistic profit lift scenarios</t>
  </si>
  <si>
    <t xml:space="preserve">Data-quality and model-sanity checks</t>
  </si>
  <si>
    <t xml:space="preserve">  Global Settings</t>
  </si>
  <si>
    <t xml:space="preserve">Currency &amp; Rounding</t>
  </si>
  <si>
    <t xml:space="preserve">Currency</t>
  </si>
  <si>
    <t xml:space="preserve">USD</t>
  </si>
  <si>
    <t xml:space="preserve">Choose USD or IDR. Drives rounding and threshold rules.</t>
  </si>
  <si>
    <t xml:space="preserve">Round to nearest</t>
  </si>
  <si>
    <t xml:space="preserve">For small-denomination currencies (USD/EUR/GBP/AUD/CAD): 0.01, 0.05, 0.10, 0.50, 1.00. For large-denomination currencies (IDR/JPY/VND): 500, 1000, 5000.</t>
  </si>
  <si>
    <t xml:space="preserve">Price ending preference</t>
  </si>
  <si>
    <t xml:space="preserve">.00</t>
  </si>
  <si>
    <t xml:space="preserve">Examples: ".00", ".50", ".90", ".95", ".99". Used only when round_to ≤ 0.50 (i.e., small-denomination currencies like USD/EUR/GBP). Auto-disabled for high-denomination currencies like IDR/JPY. ".00" = no charm. Direction-preserving: charm never reverses the analytical recommendation.</t>
  </si>
  <si>
    <t xml:space="preserve">Global Guardrails</t>
  </si>
  <si>
    <t xml:space="preserve">Max raise per item</t>
  </si>
  <si>
    <t xml:space="preserve">+10% by default. The single largest price increase the model will ever recommend.</t>
  </si>
  <si>
    <t xml:space="preserve">Max cut per item</t>
  </si>
  <si>
    <t xml:space="preserve">-5% by default. The single largest price decrease the model will ever recommend.</t>
  </si>
  <si>
    <t xml:space="preserve">Confidence shrinkage (HIGH)</t>
  </si>
  <si>
    <t xml:space="preserve">How much of the Lerner-optimal move to take when confidence is HIGH. 1.0 = take it all.</t>
  </si>
  <si>
    <t xml:space="preserve">Confidence shrinkage (MEDIUM)</t>
  </si>
  <si>
    <t xml:space="preserve">How much of the Lerner-optimal move to take when confidence is MEDIUM.</t>
  </si>
  <si>
    <t xml:space="preserve">Confidence shrinkage (LOW)</t>
  </si>
  <si>
    <t xml:space="preserve">How much of the Lerner-optimal move to take when confidence is LOW (prior only).</t>
  </si>
  <si>
    <t xml:space="preserve">Demo / Production Toggle</t>
  </si>
  <si>
    <t xml:space="preserve">Use sample SALES_DATA</t>
  </si>
  <si>
    <t xml:space="preserve">No</t>
  </si>
  <si>
    <t xml:space="preserve">"Yes" = run the model against the built-in synthetic demo. "No" = client production mode (uses category priors unless the client gives you real data).</t>
  </si>
  <si>
    <t xml:space="preserve">  Your Menu — Edit Here</t>
  </si>
  <si>
    <t xml:space="preserve">Fill in your real menu below. Up to 30 items. The recommendations on OWNER_RESULTS update automatically.</t>
  </si>
  <si>
    <t xml:space="preserve">#</t>
  </si>
  <si>
    <t xml:space="preserve">Item Name</t>
  </si>
  <si>
    <t xml:space="preserve">Category</t>
  </si>
  <si>
    <t xml:space="preserve">Role</t>
  </si>
  <si>
    <t xml:space="preserve">Cost per unit</t>
  </si>
  <si>
    <t xml:space="preserve">Current Price</t>
  </si>
  <si>
    <t xml:space="preserve">Units sold last month</t>
  </si>
  <si>
    <t xml:space="preserve">Notes (optional)</t>
  </si>
  <si>
    <t xml:space="preserve">Flat White</t>
  </si>
  <si>
    <t xml:space="preserve">Coffee</t>
  </si>
  <si>
    <t xml:space="preserve">Traffic Driver</t>
  </si>
  <si>
    <t xml:space="preserve">Entry price — protect.</t>
  </si>
  <si>
    <t xml:space="preserve">Matcha Latte</t>
  </si>
  <si>
    <t xml:space="preserve">Specialty Drink</t>
  </si>
  <si>
    <t xml:space="preserve">Profit Driver</t>
  </si>
  <si>
    <t xml:space="preserve">Higher margin specialty.</t>
  </si>
  <si>
    <t xml:space="preserve">Eggs Benedict</t>
  </si>
  <si>
    <t xml:space="preserve">Sandwich/Food</t>
  </si>
  <si>
    <t xml:space="preserve">Signature</t>
  </si>
  <si>
    <t xml:space="preserve">Brunch hero item.</t>
  </si>
  <si>
    <t xml:space="preserve">Avocado Toast</t>
  </si>
  <si>
    <t xml:space="preserve">Core</t>
  </si>
  <si>
    <t xml:space="preserve">Pancakes</t>
  </si>
  <si>
    <t xml:space="preserve">Pastry</t>
  </si>
  <si>
    <t xml:space="preserve">Premium Anchor</t>
  </si>
  <si>
    <t xml:space="preserve">Cheesecake</t>
  </si>
  <si>
    <t xml:space="preserve">Dessert</t>
  </si>
  <si>
    <t xml:space="preserve">Pair with coffee.</t>
  </si>
  <si>
    <t xml:space="preserve">How to use this tab:</t>
  </si>
  <si>
    <t xml:space="preserve">1. </t>
  </si>
  <si>
    <t xml:space="preserve">Replace the 6 demo rows with your real menu. Use the dropdowns for Category and Role.</t>
  </si>
  <si>
    <t xml:space="preserve">2. </t>
  </si>
  <si>
    <t xml:space="preserve">"Cost per unit" = what you pay in ingredients/labor to make ONE serving. Net of taxes.</t>
  </si>
  <si>
    <t xml:space="preserve">3. </t>
  </si>
  <si>
    <t xml:space="preserve">"Units sold last month" = approximate monthly volume per item. ±20% is fine.</t>
  </si>
  <si>
    <t xml:space="preserve">4. </t>
  </si>
  <si>
    <t xml:space="preserve">"Role" tells the model how aggressively to move each item. Use Traffic Driver for entry items the customer expects to be sharp. Use Profit Driver / Premium Anchor / Signature for items that can carry margin. Use Core for everyday items in between.</t>
  </si>
  <si>
    <t xml:space="preserve">5. </t>
  </si>
  <si>
    <t xml:space="preserve">Open the OWNER_RESULTS tab to see what to do.</t>
  </si>
  <si>
    <t xml:space="preserve">  Competitor Benchmark — Local Market Pricing Context</t>
  </si>
  <si>
    <t xml:space="preserve">Optional. Enter prices from 2–3 nearby cafés for items where market context matters (visible traffic drivers, signature items). The market average, min, and max are computed automatically. A flag fires in the rightmost column if the recommended price falls outside the local market range by more than the tolerance set below.</t>
  </si>
  <si>
    <t xml:space="preserve">Tolerance above market max</t>
  </si>
  <si>
    <t xml:space="preserve">Default 20%. Recommendations more than this above market max are flagged "Above market."</t>
  </si>
  <si>
    <t xml:space="preserve">Tolerance below market min</t>
  </si>
  <si>
    <t xml:space="preserve">Default 20%. Recommendations more than this below market min are flagged "Below market."</t>
  </si>
  <si>
    <t xml:space="preserve">Item</t>
  </si>
  <si>
    <t xml:space="preserve">Current price</t>
  </si>
  <si>
    <t xml:space="preserve">Competitor 1</t>
  </si>
  <si>
    <t xml:space="preserve">Competitor 2</t>
  </si>
  <si>
    <t xml:space="preserve">Competitor 3</t>
  </si>
  <si>
    <t xml:space="preserve">Market avg</t>
  </si>
  <si>
    <t xml:space="preserve">Market min</t>
  </si>
  <si>
    <t xml:space="preserve">Market max</t>
  </si>
  <si>
    <t xml:space="preserve">Rec price</t>
  </si>
  <si>
    <t xml:space="preserve">Position</t>
  </si>
  <si>
    <t xml:space="preserve">Flag</t>
  </si>
  <si>
    <t xml:space="preserve">Summary</t>
  </si>
  <si>
    <t xml:space="preserve">Items with competitor data</t>
  </si>
  <si>
    <t xml:space="preserve">Items priced above local market</t>
  </si>
  <si>
    <t xml:space="preserve">Items priced below local market</t>
  </si>
  <si>
    <t xml:space="preserve">Items within local market range</t>
  </si>
  <si>
    <t xml:space="preserve">  Your Pricing Recommendation</t>
  </si>
  <si>
    <t xml:space="preserve">  Based on your menu and goals. Refresh each month or after major recipe/cost changes.</t>
  </si>
  <si>
    <t xml:space="preserve">ESTIMATED MONTHLY PROFIT LIFT</t>
  </si>
  <si>
    <t xml:space="preserve">AS % OF CURRENT PROFIT</t>
  </si>
  <si>
    <t xml:space="preserve">ITEMS WITH A CHANGE</t>
  </si>
  <si>
    <t xml:space="preserve">CONFIDENCE LEVEL</t>
  </si>
  <si>
    <t xml:space="preserve">"Hold" = no change recommended this cycle</t>
  </si>
  <si>
    <t xml:space="preserve">What to do, item by item</t>
  </si>
  <si>
    <t xml:space="preserve">Action</t>
  </si>
  <si>
    <t xml:space="preserve">From</t>
  </si>
  <si>
    <t xml:space="preserve">To</t>
  </si>
  <si>
    <t xml:space="preserve">Δ %</t>
  </si>
  <si>
    <t xml:space="preserve">Monthly Δ profit</t>
  </si>
  <si>
    <t xml:space="preserve">Confidence</t>
  </si>
  <si>
    <t xml:space="preserve">Phase</t>
  </si>
  <si>
    <t xml:space="preserve">Quadrant</t>
  </si>
  <si>
    <t xml:space="preserve">Market</t>
  </si>
  <si>
    <t xml:space="preserve">Narrative</t>
  </si>
  <si>
    <t xml:space="preserve">TOTAL MONTHLY Δ PROFIT</t>
  </si>
  <si>
    <t xml:space="preserve">What this recommendation is based on</t>
  </si>
  <si>
    <t xml:space="preserve">Customer price sensitivity</t>
  </si>
  <si>
    <t xml:space="preserve">Estimated from your sales data if available (HIGH/MEDIUM confidence); otherwise category-level priors are used (LOW confidence — recommendations are smaller and labelled "Pilot first").</t>
  </si>
  <si>
    <t xml:space="preserve">Your guardrails</t>
  </si>
  <si>
    <t xml:space="preserve">Your cost numbers</t>
  </si>
  <si>
    <t xml:space="preserve">Update OWNER_INPUTS!E column when costs change; recommendations refresh automatically.</t>
  </si>
  <si>
    <t xml:space="preserve">Psychology</t>
  </si>
  <si>
    <t xml:space="preserve">Prices are pulled below major thresholds (5.00, 10.00, etc. in USD; 5000, 10000 etc. in IDR) when they would otherwise just barely cross.</t>
  </si>
  <si>
    <t xml:space="preserve">Want to dig deeper?</t>
  </si>
  <si>
    <t xml:space="preserve">See the full pipeline — Lerner math, shrinkage, role caps, guardrails, thresholds, rounding.</t>
  </si>
  <si>
    <t xml:space="preserve">See per-item elasticity estimates with 95% confidence intervals.</t>
  </si>
  <si>
    <t xml:space="preserve">See the role caps and threshold tables that the model uses.</t>
  </si>
  <si>
    <t xml:space="preserve">Edit the default category elasticities used when data is missing.</t>
  </si>
  <si>
    <t xml:space="preserve">See how each item is classified as Star, Plowhorse, Puzzle, or Dog.</t>
  </si>
  <si>
    <t xml:space="preserve">See the conservative / baseline / optimistic profit lift under different elasticity assumptions.</t>
  </si>
  <si>
    <t xml:space="preserve">Enter local competitor prices (optional) to see if any recommendation breaches the local market range.</t>
  </si>
  <si>
    <t xml:space="preserve">Sensitivity Check</t>
  </si>
  <si>
    <t xml:space="preserve">Conservative (e×1.2)</t>
  </si>
  <si>
    <t xml:space="preserve">Profit lift if customers are MORE price-sensitive than assumed.</t>
  </si>
  <si>
    <t xml:space="preserve">Baseline (e×1.0)</t>
  </si>
  <si>
    <t xml:space="preserve">Profit lift at the baseline elasticity used by the optimizer.</t>
  </si>
  <si>
    <t xml:space="preserve">Optimistic (e×0.8)</t>
  </si>
  <si>
    <t xml:space="preserve">Profit lift if customers are LESS price-sensitive than assumed.</t>
  </si>
  <si>
    <t xml:space="preserve">Robust?</t>
  </si>
  <si>
    <t xml:space="preserve">  Category Elasticity Priors  (used when no client data is available)</t>
  </si>
  <si>
    <t xml:space="preserve">Each row is a default own-price elasticity assumption used when the model has no client-specific data. Negative numbers — more negative means customers react more strongly to price changes. These are starting assumptions only. Replace with estimates from CALIBRATION as real data comes in.</t>
  </si>
  <si>
    <t xml:space="preserve">Elasticity (prior)</t>
  </si>
  <si>
    <t xml:space="preserve">Source</t>
  </si>
  <si>
    <t xml:space="preserve">Sensitivity tier</t>
  </si>
  <si>
    <t xml:space="preserve">Notes</t>
  </si>
  <si>
    <t xml:space="preserve">Manual Tab 4</t>
  </si>
  <si>
    <t xml:space="preserve">Moderate</t>
  </si>
  <si>
    <t xml:space="preserve">Daily routine; competitive market.</t>
  </si>
  <si>
    <t xml:space="preserve">Sensitive</t>
  </si>
  <si>
    <t xml:space="preserve">Substitutes within drink menu.</t>
  </si>
  <si>
    <t xml:space="preserve">Tea</t>
  </si>
  <si>
    <t xml:space="preserve">Comparable to coffee but lower volume.</t>
  </si>
  <si>
    <t xml:space="preserve">Inelastic</t>
  </si>
  <si>
    <t xml:space="preserve">Often impulse-bought as add-on.</t>
  </si>
  <si>
    <t xml:space="preserve">Special occasion items.</t>
  </si>
  <si>
    <t xml:space="preserve">Brunch and food less substitutable.</t>
  </si>
  <si>
    <t xml:space="preserve">Bundle</t>
  </si>
  <si>
    <t xml:space="preserve">Estimated</t>
  </si>
  <si>
    <t xml:space="preserve">Treat as basket; cross effects apply.</t>
  </si>
  <si>
    <t xml:space="preserve">Complement</t>
  </si>
  <si>
    <t xml:space="preserve">Sides, add-ons; basket effect dominates.</t>
  </si>
  <si>
    <t xml:space="preserve">Other</t>
  </si>
  <si>
    <t xml:space="preserve">Default</t>
  </si>
  <si>
    <t xml:space="preserve">Fallback when category is unspecified.</t>
  </si>
  <si>
    <t xml:space="preserve">  Psychology Rules — Role caps and threshold management</t>
  </si>
  <si>
    <t xml:space="preserve">These rules constrain raw model output to keep recommendations psychologically credible. Role caps limit how much any single item can move, by its strategic role on the menu. Test increments are the small moves used when confidence is LOW — when the model is working off priors, not real data.</t>
  </si>
  <si>
    <t xml:space="preserve">Role caps</t>
  </si>
  <si>
    <t xml:space="preserve">Max raise (role cap)</t>
  </si>
  <si>
    <t xml:space="preserve">Max cut (role floor)</t>
  </si>
  <si>
    <t xml:space="preserve">Test increment (LOW conf.)</t>
  </si>
  <si>
    <t xml:space="preserve">Description</t>
  </si>
  <si>
    <t xml:space="preserve">Default action when no data</t>
  </si>
  <si>
    <t xml:space="preserve">Sharp entry price that signals fairness. Protect.</t>
  </si>
  <si>
    <t xml:space="preserve">Hold</t>
  </si>
  <si>
    <t xml:space="preserve">High-volume standard menu item. Moderate moves OK.</t>
  </si>
  <si>
    <t xml:space="preserve">Small test raise</t>
  </si>
  <si>
    <t xml:space="preserve">High-margin item that can carry most of the gain.</t>
  </si>
  <si>
    <t xml:space="preserve">Modest test raise</t>
  </si>
  <si>
    <t xml:space="preserve">Expensive reference point; protect premium feel.</t>
  </si>
  <si>
    <t xml:space="preserve">Brand-defining item; can carry premium pricing.</t>
  </si>
  <si>
    <t xml:space="preserve">Side/add-on; basket effect dominates.</t>
  </si>
  <si>
    <t xml:space="preserve">Unspecified role — conservative default.</t>
  </si>
  <si>
    <t xml:space="preserve">Psychological thresholds</t>
  </si>
  <si>
    <t xml:space="preserve">If the rounded recommended price would land within "Buffer" above one of these thresholds, the model pulls the price down to threshold - 0.05 (USD) or threshold - 500 (IDR) instead. These represent perceptual jumps customers notice.</t>
  </si>
  <si>
    <t xml:space="preserve">USD thresholds</t>
  </si>
  <si>
    <t xml:space="preserve">Buffer (USD)</t>
  </si>
  <si>
    <t xml:space="preserve">IDR thresholds</t>
  </si>
  <si>
    <t xml:space="preserve">Buffer (IDR)</t>
  </si>
  <si>
    <t xml:space="preserve">  Menu Engineering — Star / Plowhorse / Puzzle / Dog</t>
  </si>
  <si>
    <t xml:space="preserve">Classifies each item by popularity (monthly units) and margin %, using menu medians as thresholds. Items above median on both axes are Stars; below on both are Dogs. The quadrant guides the recommended action.</t>
  </si>
  <si>
    <t xml:space="preserve">Median monthly units</t>
  </si>
  <si>
    <t xml:space="preserve">Items at or above this volume → "high popularity"</t>
  </si>
  <si>
    <t xml:space="preserve">Median margin %</t>
  </si>
  <si>
    <t xml:space="preserve">Items at or above this margin → "high margin"</t>
  </si>
  <si>
    <t xml:space="preserve">Monthly units</t>
  </si>
  <si>
    <t xml:space="preserve">Unit margin</t>
  </si>
  <si>
    <t xml:space="preserve">Monthly profit</t>
  </si>
  <si>
    <t xml:space="preserve">Margin %</t>
  </si>
  <si>
    <t xml:space="preserve">Popularity tier</t>
  </si>
  <si>
    <t xml:space="preserve">Margin tier</t>
  </si>
  <si>
    <t xml:space="preserve">Star count</t>
  </si>
  <si>
    <t xml:space="preserve">Plowhorse count</t>
  </si>
  <si>
    <t xml:space="preserve">Puzzle count</t>
  </si>
  <si>
    <t xml:space="preserve">Dog count</t>
  </si>
  <si>
    <t xml:space="preserve">Total items</t>
  </si>
  <si>
    <t xml:space="preserve">Menu balance</t>
  </si>
  <si>
    <t xml:space="preserve">  Daily Sales Data — for calibrating item-level price sensitivity</t>
  </si>
  <si>
    <t xml:space="preserve">This tab is OPTIONAL. Most cafés will not have it filled in. If you do have daily sales history with genuine price variation (POS export, A/B price tests, natural price changes), paste it here. Rows 6-545 are pre-formatted with formulas — that gives you 540 transaction rows (enough for 6 months of daily data across 3 items, or 18 months for 1 item). The CALIBRATION tab will estimate each item's real elasticity from it. If empty, the model falls back to category-level priors from CATEGORY_PRIORS.</t>
  </si>
  <si>
    <t xml:space="preserve">Day</t>
  </si>
  <si>
    <t xml:space="preserve">DOW</t>
  </si>
  <si>
    <t xml:space="preserve">ItemID</t>
  </si>
  <si>
    <t xml:space="preserve">IsSample</t>
  </si>
  <si>
    <t xml:space="preserve">PriceTested</t>
  </si>
  <si>
    <t xml:space="preserve">BasePrice</t>
  </si>
  <si>
    <t xml:space="preserve">QtySold</t>
  </si>
  <si>
    <t xml:space="preserve">Revenue</t>
  </si>
  <si>
    <t xml:space="preserve">COGS_unit</t>
  </si>
  <si>
    <t xml:space="preserve">Profit</t>
  </si>
  <si>
    <t xml:space="preserve">LnPrice</t>
  </si>
  <si>
    <t xml:space="preserve">LnQty</t>
  </si>
  <si>
    <t xml:space="preserve">ITM01</t>
  </si>
  <si>
    <t xml:space="preserve">Y</t>
  </si>
  <si>
    <t xml:space="preserve">ITM02</t>
  </si>
  <si>
    <t xml:space="preserve">ITM03</t>
  </si>
  <si>
    <t xml:space="preserve">ITM04</t>
  </si>
  <si>
    <t xml:space="preserve">ITM05</t>
  </si>
  <si>
    <t xml:space="preserve">ITM06</t>
  </si>
  <si>
    <t xml:space="preserve">  Demand Calibration — Elasticities Estimated from SALES_DATA</t>
  </si>
  <si>
    <t xml:space="preserve">For each item in OWNER_INPUTS, the model regresses ln(QtySold) on ln(PriceTested) over all matching rows in SALES_DATA. The slope of that regression IS the own-price elasticity. The 95% CI shows how confident the estimate is. Rows flagged IsSample="Y" are included only when SETTINGS!Use sample = "Yes".</t>
  </si>
  <si>
    <t xml:space="preserve">Item (from OWNER_INPUTS)</t>
  </si>
  <si>
    <t xml:space="preserve">N obs</t>
  </si>
  <si>
    <t xml:space="preserve">Avg Price</t>
  </si>
  <si>
    <t xml:space="preserve">Avg Qty/day</t>
  </si>
  <si>
    <t xml:space="preserve">Elasticity (ê)</t>
  </si>
  <si>
    <t xml:space="preserve">Std Error</t>
  </si>
  <si>
    <t xml:space="preserve">95% CI low</t>
  </si>
  <si>
    <t xml:space="preserve">95% CI high</t>
  </si>
  <si>
    <t xml:space="preserve">Confidence tier</t>
  </si>
  <si>
    <t xml:space="preserve">Estimate (numeric)</t>
  </si>
  <si>
    <t xml:space="preserve">Helper: mean lnP</t>
  </si>
  <si>
    <t xml:space="preserve">Helper: mean lnQ</t>
  </si>
  <si>
    <t xml:space="preserve">Helper: SSxx</t>
  </si>
  <si>
    <t xml:space="preserve">Helper: SSxy</t>
  </si>
  <si>
    <t xml:space="preserve">Helper: SSres</t>
  </si>
  <si>
    <t xml:space="preserve">  Pricing Optimizer — Model + Psychology + Guardrails</t>
  </si>
  <si>
    <t xml:space="preserve">For each item: estimate elasticity (or fall back to prior), compute the profit-maximizing price under constant-elasticity demand, shrink toward current price by a confidence-dependent amount, cap by item role, cap by global guardrails, adjust for psychological thresholds, and round to the current currency. The Recommended Price (column W) is what should go on the menu.</t>
  </si>
  <si>
    <t xml:space="preserve">Cost</t>
  </si>
  <si>
    <t xml:space="preserve">Daily qty</t>
  </si>
  <si>
    <t xml:space="preserve">Elasticity (used)</t>
  </si>
  <si>
    <t xml:space="preserve">Lerner P*</t>
  </si>
  <si>
    <t xml:space="preserve">Shrinkage factor</t>
  </si>
  <si>
    <t xml:space="preserve">Shrunk target</t>
  </si>
  <si>
    <t xml:space="preserve">Role cap %</t>
  </si>
  <si>
    <t xml:space="preserve">Role floor %</t>
  </si>
  <si>
    <t xml:space="preserve">After role cap</t>
  </si>
  <si>
    <t xml:space="preserve">After global guard</t>
  </si>
  <si>
    <t xml:space="preserve">After threshold</t>
  </si>
  <si>
    <t xml:space="preserve">Round step</t>
  </si>
  <si>
    <t xml:space="preserve">Recommended price</t>
  </si>
  <si>
    <t xml:space="preserve">Δ%</t>
  </si>
  <si>
    <t xml:space="preserve">Projected qty/day</t>
  </si>
  <si>
    <t xml:space="preserve">Δ daily profit</t>
  </si>
  <si>
    <t xml:space="preserve">Δ monthly profit</t>
  </si>
  <si>
    <t xml:space="preserve">Charm up (helper)</t>
  </si>
  <si>
    <t xml:space="preserve">Charm dn (helper)</t>
  </si>
  <si>
    <t xml:space="preserve">Ending applied</t>
  </si>
  <si>
    <t xml:space="preserve">TOTAL</t>
  </si>
  <si>
    <t xml:space="preserve">Baseline monthly profit</t>
  </si>
  <si>
    <t xml:space="preserve">Lift % of monthly profit</t>
  </si>
  <si>
    <t xml:space="preserve">  Sensitivity Analysis — Profit Lift Under Elasticity Scenarios</t>
  </si>
  <si>
    <t xml:space="preserve">Holds the recommended price (T) fixed and varies the elasticity by a multiplier. Conservative scenario assumes customers are MORE sensitive (e × 1.2), Optimistic assumes LESS sensitive (e × 0.8). If profit lift is positive across all three scenarios, the recommendation is robust.</t>
  </si>
  <si>
    <t xml:space="preserve">Conservative multiplier</t>
  </si>
  <si>
    <t xml:space="preserve">Demand reacts MORE to price changes (e.g. -1.1 → -1.32). Lower projected lift.</t>
  </si>
  <si>
    <t xml:space="preserve">Baseline multiplier</t>
  </si>
  <si>
    <t xml:space="preserve">Use the elasticity estimate as-is from OPTIMIZER.</t>
  </si>
  <si>
    <t xml:space="preserve">Optimistic multiplier</t>
  </si>
  <si>
    <t xml:space="preserve">Demand reacts LESS to price changes (e.g. -1.1 → -0.88). Higher projected lift.</t>
  </si>
  <si>
    <t xml:space="preserve">Baseline e</t>
  </si>
  <si>
    <t xml:space="preserve">Baseline check (vs OPTIMIZER)</t>
  </si>
  <si>
    <t xml:space="preserve">All scenarios positive?</t>
  </si>
  <si>
    <t xml:space="preserve">Recommendation robust?</t>
  </si>
  <si>
    <t xml:space="preserve">  Pre-Delivery QA Checklist</t>
  </si>
  <si>
    <t xml:space="preserve">Internal validation. Before sending the report to a client, every row in the lower table must read "OK". Each row checks a different failure mode. The summary box at the top tells you whether the workbook is ready.</t>
  </si>
  <si>
    <t xml:space="preserve">Workbook status</t>
  </si>
  <si>
    <t xml:space="preserve">Items configured</t>
  </si>
  <si>
    <t xml:space="preserve">Number of items with a name on OWNER_INPUTS.</t>
  </si>
  <si>
    <t xml:space="preserve">Items with HIGH confidence</t>
  </si>
  <si>
    <t xml:space="preserve">These items have CI cleanly excluding -1 — can be shipped "Now".</t>
  </si>
  <si>
    <t xml:space="preserve">Items with MEDIUM confidence</t>
  </si>
  <si>
    <t xml:space="preserve">Enough data but CI is wide — recommend pilot.</t>
  </si>
  <si>
    <t xml:space="preserve">Items with LOW confidence</t>
  </si>
  <si>
    <t xml:space="preserve">No client data — using category priors. Test small.</t>
  </si>
  <si>
    <t xml:space="preserve">Demo mode active?</t>
  </si>
  <si>
    <t xml:space="preserve">Must be "No" before client delivery.</t>
  </si>
  <si>
    <t xml:space="preserve">Per-item validation</t>
  </si>
  <si>
    <t xml:space="preserve">Check</t>
  </si>
  <si>
    <t xml:space="preserve">Items with this issue</t>
  </si>
  <si>
    <t xml:space="preserve">Status</t>
  </si>
  <si>
    <t xml:space="preserve">Severity</t>
  </si>
  <si>
    <t xml:space="preserve">Action if fail</t>
  </si>
  <si>
    <t xml:space="preserve">Items missing a Category</t>
  </si>
  <si>
    <t xml:space="preserve">Hard</t>
  </si>
  <si>
    <t xml:space="preserve">Set Category dropdown on OWNER_INPUTS for every named item. Without category, the prior fallback uses "Other".</t>
  </si>
  <si>
    <t xml:space="preserve">Items missing a Role</t>
  </si>
  <si>
    <t xml:space="preserve">Set Role dropdown. Role caps and test increments depend on it; missing role drops to "Other" with conservative caps.</t>
  </si>
  <si>
    <t xml:space="preserve">Items where Cost ≥ Current price</t>
  </si>
  <si>
    <t xml:space="preserve">A cost above the price means no margin. Verify cost figure with owner — sometimes the wrong number is entered.</t>
  </si>
  <si>
    <t xml:space="preserve">Items with zero or missing monthly units</t>
  </si>
  <si>
    <t xml:space="preserve">Profit lift cannot be computed without volume. Ask owner for approximate monthly units even ±20%.</t>
  </si>
  <si>
    <t xml:space="preserve">Items where role cap was the binding constraint (upward)</t>
  </si>
  <si>
    <t xml:space="preserve">Soft</t>
  </si>
  <si>
    <t xml:space="preserve">Shrunk target wanted more raise than role cap allows. Model is leaving margin on the table. Consider promoting role (Traffic Driver → Core, etc.) or running a pilot before next cycle.</t>
  </si>
  <si>
    <t xml:space="preserve">Items where role floor was the binding constraint (downward)</t>
  </si>
  <si>
    <t xml:space="preserve">Cost-vs-price signal says cut more than the role allows. Sanity-check the cost number first.</t>
  </si>
  <si>
    <t xml:space="preserve">Items where elasticity CI crosses zero</t>
  </si>
  <si>
    <t xml:space="preserve">CI upper bound &gt; 0 means data cannot rule out an UPWARD-sloping demand curve. Treat as LOW-confidence regardless of N.</t>
  </si>
  <si>
    <t xml:space="preserve">Items recommended to move &gt; 5%</t>
  </si>
  <si>
    <t xml:space="preserve">Info</t>
  </si>
  <si>
    <t xml:space="preserve">Any single move above 5% deserves a written rationale in the client memo. Check the role label and confidence tier.</t>
  </si>
  <si>
    <t xml:space="preserve">Items with negative projected Δ profit</t>
  </si>
  <si>
    <t xml:space="preserve">The model wants to cut and accept a profit loss now to defend volume. Worth challenging — usually a sign of bad cost data.</t>
  </si>
  <si>
    <t xml:space="preserve">Items where threshold pullback fired</t>
  </si>
  <si>
    <t xml:space="preserve">These prices were pulled below a major price threshold (e.g. $10) — that is the psychology layer working as intended.</t>
  </si>
  <si>
    <t xml:space="preserve">Items below cost AND recommended to raise</t>
  </si>
  <si>
    <t xml:space="preserve">Item already sells below cost but model recommends raising further. Owner should fix the cost figure first OR consider removing the item entirely — repricing a loss-maker does not fix the loss.</t>
  </si>
  <si>
    <t xml:space="preserve">Model sanity</t>
  </si>
  <si>
    <t xml:space="preserve">Value</t>
  </si>
  <si>
    <t xml:space="preserve">All elasticities are negative</t>
  </si>
  <si>
    <t xml:space="preserve">Economic theory: an own-price elasticity must be negative.</t>
  </si>
  <si>
    <t xml:space="preserve">All recommended prices are positive</t>
  </si>
  <si>
    <t xml:space="preserve">Prices must be positive.</t>
  </si>
  <si>
    <t xml:space="preserve">All Δ% within global guardrails</t>
  </si>
  <si>
    <t xml:space="preserve">Output must respect SETTINGS guardrails.</t>
  </si>
  <si>
    <t xml:space="preserve">Baseline profit is positive</t>
  </si>
  <si>
    <t xml:space="preserve">Cannot compute lift % if baseline is zero or negative. Check cost vs price.</t>
  </si>
  <si>
    <t xml:space="preserve">Lift % within sanity range (±20%)</t>
  </si>
  <si>
    <t xml:space="preserve">A single-pass model rarely improves profit &gt; +20% honestly, AND rarely indicates a &gt; -20% drop without bad inputs. If outside ±20%, the inputs are probably wrong.</t>
  </si>
  <si>
    <t xml:space="preserve">Overall confidence (weighted by ΔProfit)</t>
  </si>
  <si>
    <t xml:space="preserve">Weighted average of per-item confidence tiers (HIGH=1, MEDIUM=0.5, LOW=0.25), weighted by absolute ΔProfit. When all items are Holds (zero ΔProfit), falls back to an equal-weighted average. The OWNER_RESULTS headline uses this value. HIGH ≥ 0.85, MEDIUM ≥ 0.50, LOW &lt; 0.50.</t>
  </si>
  <si>
    <t xml:space="preserve">Items recommended above local market range</t>
  </si>
  <si>
    <t xml:space="preserve">Recommendation exceeds local market max by more than the configured tolerance. Defensible if the item is a Star or Signature with strong product differentiation; flag if the item is a Traffic Driver.</t>
  </si>
  <si>
    <t xml:space="preserve">Items classified as Dog (low volume + low margin)</t>
  </si>
  <si>
    <t xml:space="preserve">Low-volume, low-margin items. Consider removal or repositioning. Repricing a Dog rarely moves total profit.</t>
  </si>
  <si>
    <t xml:space="preserve">Items losing money under Conservative elasticity scenario</t>
  </si>
  <si>
    <t xml:space="preserve">These items show negative ΔProfit when elasticity is assumed 1.2× more sensitive. Their recommended raise is not robust to a more cautious demand assumption — consider pilot-testing first.</t>
  </si>
  <si>
    <t xml:space="preserve">Status summary</t>
  </si>
  <si>
    <t xml:space="preserve">Hard checks failing</t>
  </si>
  <si>
    <t xml:space="preserve">Soft warnings</t>
  </si>
  <si>
    <t xml:space="preserve">Info observations</t>
  </si>
</sst>
</file>

<file path=xl/styles.xml><?xml version="1.0" encoding="utf-8"?>
<styleSheet xmlns="http://schemas.openxmlformats.org/spreadsheetml/2006/main">
  <numFmts count="13">
    <numFmt numFmtId="164" formatCode="General"/>
    <numFmt numFmtId="165" formatCode="0.0%"/>
    <numFmt numFmtId="166" formatCode="0.00"/>
    <numFmt numFmtId="167" formatCode="#,##0"/>
    <numFmt numFmtId="168" formatCode="0%"/>
    <numFmt numFmtId="169" formatCode="#,##0.00"/>
    <numFmt numFmtId="170" formatCode="0"/>
    <numFmt numFmtId="171" formatCode="\+#,##0;\-#,##0;\-"/>
    <numFmt numFmtId="172" formatCode="\+0.0%;\-0.0%;\-"/>
    <numFmt numFmtId="173" formatCode="\+#,##0.00;\-#,##0.00;\-"/>
    <numFmt numFmtId="174" formatCode="0.0000"/>
    <numFmt numFmtId="175" formatCode="0.0"/>
    <numFmt numFmtId="176" formatCode="0.000"/>
  </numFmts>
  <fonts count="3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2"/>
      <color rgb="FF1F3864"/>
      <name val="Arial"/>
      <family val="0"/>
      <charset val="1"/>
    </font>
    <font>
      <sz val="10"/>
      <name val="Arial"/>
      <family val="0"/>
      <charset val="1"/>
    </font>
    <font>
      <b val="true"/>
      <u val="single"/>
      <sz val="11"/>
      <color rgb="FF0563C1"/>
      <name val="Arial"/>
      <family val="0"/>
      <charset val="1"/>
    </font>
    <font>
      <sz val="10"/>
      <color rgb="FF666666"/>
      <name val="Arial"/>
      <family val="0"/>
      <charset val="1"/>
    </font>
    <font>
      <b val="true"/>
      <sz val="10"/>
      <color rgb="FF000000"/>
      <name val="Arial"/>
      <family val="0"/>
      <charset val="1"/>
    </font>
    <font>
      <sz val="10"/>
      <color rgb="FF0000FF"/>
      <name val="Arial"/>
      <family val="0"/>
      <charset val="1"/>
    </font>
    <font>
      <i val="true"/>
      <sz val="9"/>
      <color rgb="FF666666"/>
      <name val="Arial"/>
      <family val="0"/>
      <charset val="1"/>
    </font>
    <font>
      <sz val="10"/>
      <name val="Arial"/>
      <family val="2"/>
    </font>
    <font>
      <b val="true"/>
      <sz val="11"/>
      <color rgb="FFFFFFFF"/>
      <name val="Arial"/>
      <family val="0"/>
      <charset val="1"/>
    </font>
    <font>
      <i val="true"/>
      <sz val="11"/>
      <color rgb="FF666666"/>
      <name val="Arial"/>
      <family val="0"/>
      <charset val="1"/>
    </font>
    <font>
      <b val="true"/>
      <sz val="11"/>
      <name val="Arial"/>
      <family val="0"/>
      <charset val="1"/>
    </font>
    <font>
      <sz val="11"/>
      <color rgb="FF0000FF"/>
      <name val="Arial"/>
      <family val="0"/>
      <charset val="1"/>
    </font>
    <font>
      <sz val="11"/>
      <color rgb="FF006100"/>
      <name val="Arial"/>
      <family val="0"/>
      <charset val="1"/>
    </font>
    <font>
      <b val="true"/>
      <sz val="18"/>
      <color rgb="FFFFFFFF"/>
      <name val="Arial"/>
      <family val="0"/>
      <charset val="1"/>
    </font>
    <font>
      <i val="true"/>
      <sz val="10"/>
      <color rgb="FF333333"/>
      <name val="Arial"/>
      <family val="0"/>
      <charset val="1"/>
    </font>
    <font>
      <b val="true"/>
      <sz val="9"/>
      <color rgb="FF666666"/>
      <name val="Arial"/>
      <family val="0"/>
      <charset val="1"/>
    </font>
    <font>
      <b val="true"/>
      <sz val="22"/>
      <color rgb="FF1F3864"/>
      <name val="Arial"/>
      <family val="0"/>
      <charset val="1"/>
    </font>
    <font>
      <sz val="10"/>
      <color rgb="FF006100"/>
      <name val="Arial"/>
      <family val="0"/>
      <charset val="1"/>
    </font>
    <font>
      <sz val="10"/>
      <color rgb="FF000000"/>
      <name val="Arial"/>
      <family val="0"/>
      <charset val="1"/>
    </font>
    <font>
      <b val="true"/>
      <sz val="11"/>
      <color rgb="FF1F3864"/>
      <name val="Arial"/>
      <family val="0"/>
      <charset val="1"/>
    </font>
    <font>
      <sz val="9"/>
      <name val="Arial"/>
      <family val="0"/>
      <charset val="1"/>
    </font>
    <font>
      <b val="true"/>
      <sz val="8"/>
      <color rgb="FF666666"/>
      <name val="Arial"/>
      <family val="0"/>
      <charset val="1"/>
    </font>
    <font>
      <sz val="9"/>
      <color rgb="FF666666"/>
      <name val="Arial"/>
      <family val="0"/>
      <charset val="1"/>
    </font>
    <font>
      <sz val="8"/>
      <color rgb="FF666666"/>
      <name val="Arial"/>
      <family val="0"/>
      <charset val="1"/>
    </font>
    <font>
      <sz val="11"/>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D9E1F2"/>
        <bgColor rgb="FFE7E6E6"/>
      </patternFill>
    </fill>
    <fill>
      <patternFill patternType="solid">
        <fgColor rgb="FFFFF2CC"/>
        <bgColor rgb="FFFCE4D6"/>
      </patternFill>
    </fill>
    <fill>
      <patternFill patternType="solid">
        <fgColor rgb="FF2E5597"/>
        <bgColor rgb="FF0563C1"/>
      </patternFill>
    </fill>
    <fill>
      <patternFill patternType="solid">
        <fgColor rgb="FFF2F2F2"/>
        <bgColor rgb="FFE7E6E6"/>
      </patternFill>
    </fill>
    <fill>
      <patternFill patternType="solid">
        <fgColor rgb="FFE7E6E6"/>
        <bgColor rgb="FFE2EFDA"/>
      </patternFill>
    </fill>
  </fills>
  <borders count="4">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 diagonalUp="false" diagonalDown="false">
      <left style="thin">
        <color rgb="FFB0B0B0"/>
      </left>
      <right/>
      <top style="thin">
        <color rgb="FFB0B0B0"/>
      </top>
      <bottom style="thin">
        <color rgb="FFB0B0B0"/>
      </bottom>
      <diagonal/>
    </border>
    <border diagonalUp="false" diagonalDown="false">
      <left style="medium">
        <color rgb="FF1F3864"/>
      </left>
      <right/>
      <top style="medium">
        <color rgb="FF1F3864"/>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center" textRotation="0" wrapText="true" indent="0" shrinkToFit="false"/>
      <protection locked="true" hidden="false"/>
    </xf>
    <xf numFmtId="164" fontId="5" fillId="0" borderId="0" xfId="0" applyFont="true" applyBorder="true" applyAlignment="true" applyProtection="true">
      <alignment horizontal="left" vertical="center" textRotation="0" wrapText="tru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3" borderId="1" xfId="0" applyFont="true" applyBorder="true" applyAlignment="true" applyProtection="true">
      <alignment horizontal="left" vertical="center" textRotation="0" wrapText="true" indent="0" shrinkToFit="false"/>
      <protection locked="true" hidden="false"/>
    </xf>
    <xf numFmtId="164" fontId="9" fillId="0" borderId="1" xfId="0" applyFont="true" applyBorder="true" applyAlignment="true" applyProtection="true">
      <alignment horizontal="left" vertical="center" textRotation="0" wrapText="true" indent="0" shrinkToFit="false"/>
      <protection locked="true" hidden="false"/>
    </xf>
    <xf numFmtId="164" fontId="10" fillId="4" borderId="1" xfId="0" applyFont="true" applyBorder="true" applyAlignment="true" applyProtection="true">
      <alignment horizontal="center" vertical="center" textRotation="0" wrapText="true" indent="0" shrinkToFit="false"/>
      <protection locked="true" hidden="false"/>
    </xf>
    <xf numFmtId="164" fontId="11" fillId="0" borderId="0" xfId="0" applyFont="true" applyBorder="true" applyAlignment="true" applyProtection="true">
      <alignment horizontal="left" vertical="center" textRotation="0" wrapText="true" indent="0" shrinkToFit="false"/>
      <protection locked="true" hidden="false"/>
    </xf>
    <xf numFmtId="165" fontId="10" fillId="4" borderId="1" xfId="0" applyFont="true" applyBorder="true" applyAlignment="true" applyProtection="true">
      <alignment horizontal="center" vertical="center" textRotation="0" wrapText="true" indent="0" shrinkToFit="false"/>
      <protection locked="true" hidden="false"/>
    </xf>
    <xf numFmtId="164" fontId="11" fillId="0" borderId="0" xfId="0" applyFont="true" applyBorder="true" applyAlignment="true" applyProtection="true">
      <alignment horizontal="left" vertical="top" textRotation="0" wrapText="true" indent="0" shrinkToFit="false"/>
      <protection locked="true" hidden="false"/>
    </xf>
    <xf numFmtId="164" fontId="13" fillId="5" borderId="1"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center" vertical="center" textRotation="0" wrapText="true" indent="0" shrinkToFit="false"/>
      <protection locked="true" hidden="false"/>
    </xf>
    <xf numFmtId="164" fontId="10" fillId="4" borderId="1" xfId="0" applyFont="true" applyBorder="true" applyAlignment="true" applyProtection="true">
      <alignment horizontal="left" vertical="center" textRotation="0" wrapText="true" indent="0" shrinkToFit="false"/>
      <protection locked="true" hidden="false"/>
    </xf>
    <xf numFmtId="166" fontId="10" fillId="4" borderId="1" xfId="0" applyFont="true" applyBorder="true" applyAlignment="true" applyProtection="true">
      <alignment horizontal="center" vertical="center" textRotation="0" wrapText="true" indent="0" shrinkToFit="false"/>
      <protection locked="true" hidden="false"/>
    </xf>
    <xf numFmtId="167" fontId="10" fillId="4" borderId="1" xfId="0" applyFont="true" applyBorder="true" applyAlignment="true" applyProtection="true">
      <alignment horizontal="center" vertical="center" textRotation="0" wrapText="true" indent="0" shrinkToFit="false"/>
      <protection locked="true" hidden="false"/>
    </xf>
    <xf numFmtId="164" fontId="9" fillId="0" borderId="0" xfId="0" applyFont="true" applyBorder="true" applyAlignment="true" applyProtection="true">
      <alignment horizontal="left" vertical="center"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left" vertical="top" textRotation="0" wrapText="tru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true" applyAlignment="true" applyProtection="true">
      <alignment horizontal="general" vertical="top" textRotation="0" wrapText="tru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8" fontId="16"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3" fillId="2" borderId="0" xfId="0" applyFont="true" applyBorder="false" applyAlignment="true" applyProtection="true">
      <alignment horizontal="center" vertical="center"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9" fontId="16" fillId="0" borderId="0" xfId="0" applyFont="true" applyBorder="false" applyAlignment="true" applyProtection="true">
      <alignment horizontal="general"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70" fontId="17" fillId="0" borderId="0" xfId="0" applyFont="true" applyBorder="false" applyAlignment="true" applyProtection="true">
      <alignment horizontal="general" vertical="bottom" textRotation="0" wrapText="false" indent="0" shrinkToFit="false"/>
      <protection locked="true" hidden="false"/>
    </xf>
    <xf numFmtId="164" fontId="18" fillId="2" borderId="0" xfId="0" applyFont="true" applyBorder="true" applyAlignment="true" applyProtection="true">
      <alignment horizontal="left" vertical="center" textRotation="0" wrapText="true" indent="0" shrinkToFit="false"/>
      <protection locked="true" hidden="false"/>
    </xf>
    <xf numFmtId="164" fontId="19" fillId="0" borderId="0" xfId="0" applyFont="true" applyBorder="true" applyAlignment="true" applyProtection="true">
      <alignment horizontal="left" vertical="center" textRotation="0" wrapText="true" indent="0" shrinkToFit="false"/>
      <protection locked="true" hidden="false"/>
    </xf>
    <xf numFmtId="164" fontId="13" fillId="0" borderId="0" xfId="0" applyFont="true" applyBorder="true" applyAlignment="true" applyProtection="true">
      <alignment horizontal="center" vertical="center" textRotation="0" wrapText="true" indent="0" shrinkToFit="false"/>
      <protection locked="true" hidden="false"/>
    </xf>
    <xf numFmtId="164" fontId="20" fillId="3" borderId="2" xfId="0" applyFont="true" applyBorder="true" applyAlignment="true" applyProtection="true">
      <alignment horizontal="center" vertical="center" textRotation="0" wrapText="true" indent="0" shrinkToFit="false"/>
      <protection locked="true" hidden="false"/>
    </xf>
    <xf numFmtId="171" fontId="21" fillId="0" borderId="3" xfId="0" applyFont="true" applyBorder="true" applyAlignment="true" applyProtection="true">
      <alignment horizontal="center" vertical="center" textRotation="0" wrapText="true" indent="0" shrinkToFit="false"/>
      <protection locked="true" hidden="false"/>
    </xf>
    <xf numFmtId="172" fontId="21" fillId="0" borderId="3" xfId="0" applyFont="true" applyBorder="true" applyAlignment="true" applyProtection="true">
      <alignment horizontal="center" vertical="center" textRotation="0" wrapText="true" indent="0" shrinkToFit="false"/>
      <protection locked="true" hidden="false"/>
    </xf>
    <xf numFmtId="164" fontId="21" fillId="0" borderId="3" xfId="0" applyFont="true" applyBorder="true" applyAlignment="true" applyProtection="true">
      <alignment horizontal="center" vertical="center" textRotation="0" wrapText="true" indent="0" shrinkToFit="false"/>
      <protection locked="true" hidden="false"/>
    </xf>
    <xf numFmtId="164" fontId="11" fillId="0" borderId="2" xfId="0" applyFont="true" applyBorder="true" applyAlignment="true" applyProtection="true">
      <alignment horizontal="center" vertical="center" textRotation="0" wrapText="true" indent="0" shrinkToFit="false"/>
      <protection locked="true" hidden="false"/>
    </xf>
    <xf numFmtId="164" fontId="9" fillId="3" borderId="2" xfId="0" applyFont="true" applyBorder="true" applyAlignment="true" applyProtection="true">
      <alignment horizontal="left" vertical="center" textRotation="0" wrapText="true" indent="0" shrinkToFit="false"/>
      <protection locked="true" hidden="false"/>
    </xf>
    <xf numFmtId="164" fontId="22" fillId="0" borderId="1" xfId="0" applyFont="true" applyBorder="true" applyAlignment="true" applyProtection="true">
      <alignment horizontal="left" vertical="center" textRotation="0" wrapText="true" indent="0" shrinkToFit="false"/>
      <protection locked="true" hidden="false"/>
    </xf>
    <xf numFmtId="166" fontId="22" fillId="0" borderId="1" xfId="0" applyFont="true" applyBorder="true" applyAlignment="true" applyProtection="true">
      <alignment horizontal="center" vertical="center" textRotation="0" wrapText="true" indent="0" shrinkToFit="false"/>
      <protection locked="true" hidden="false"/>
    </xf>
    <xf numFmtId="172" fontId="23" fillId="0" borderId="1" xfId="0" applyFont="true" applyBorder="true" applyAlignment="true" applyProtection="true">
      <alignment horizontal="center" vertical="center" textRotation="0" wrapText="true" indent="0" shrinkToFit="false"/>
      <protection locked="true" hidden="false"/>
    </xf>
    <xf numFmtId="173" fontId="23" fillId="0" borderId="1" xfId="0" applyFont="true" applyBorder="true" applyAlignment="true" applyProtection="true">
      <alignment horizontal="center" vertical="center" textRotation="0" wrapText="true" indent="0" shrinkToFit="false"/>
      <protection locked="true" hidden="false"/>
    </xf>
    <xf numFmtId="164" fontId="23" fillId="0" borderId="1" xfId="0" applyFont="true" applyBorder="true" applyAlignment="true" applyProtection="true">
      <alignment horizontal="center" vertical="center" textRotation="0" wrapText="true" indent="0" shrinkToFit="false"/>
      <protection locked="true" hidden="false"/>
    </xf>
    <xf numFmtId="164" fontId="9" fillId="4" borderId="1" xfId="0" applyFont="true" applyBorder="true" applyAlignment="true" applyProtection="true">
      <alignment horizontal="left" vertical="center" textRotation="0" wrapText="true" indent="0" shrinkToFit="false"/>
      <protection locked="true" hidden="false"/>
    </xf>
    <xf numFmtId="173" fontId="9" fillId="4" borderId="1" xfId="0" applyFont="true" applyBorder="tru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left" vertical="top" textRotation="0" wrapText="true" indent="0" shrinkToFit="false"/>
      <protection locked="true" hidden="false"/>
    </xf>
    <xf numFmtId="164" fontId="7" fillId="0" borderId="1" xfId="0" applyFont="true" applyBorder="true" applyAlignment="true" applyProtection="true">
      <alignment horizontal="left" vertical="center" textRotation="0" wrapText="true" indent="0" shrinkToFit="false"/>
      <protection locked="true" hidden="false"/>
    </xf>
    <xf numFmtId="164" fontId="14" fillId="0" borderId="0" xfId="0" applyFont="true" applyBorder="tru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73" fontId="17" fillId="0" borderId="0" xfId="0" applyFont="true" applyBorder="false" applyAlignment="true" applyProtection="true">
      <alignment horizontal="general" vertical="bottom" textRotation="0" wrapText="false" indent="0" shrinkToFit="false"/>
      <protection locked="true" hidden="false"/>
    </xf>
    <xf numFmtId="167" fontId="17" fillId="0" borderId="0" xfId="0" applyFont="true" applyBorder="false" applyAlignment="true" applyProtection="true">
      <alignment horizontal="general" vertical="bottom" textRotation="0" wrapText="false" indent="0" shrinkToFit="false"/>
      <protection locked="true" hidden="false"/>
    </xf>
    <xf numFmtId="165" fontId="17" fillId="0" borderId="0" xfId="0" applyFont="tru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true">
      <alignment horizontal="left" vertical="center" textRotation="0" wrapText="false" indent="0" shrinkToFit="false"/>
      <protection locked="true" hidden="false"/>
    </xf>
    <xf numFmtId="164" fontId="11" fillId="0" borderId="0" xfId="0" applyFont="true" applyBorder="true" applyAlignment="true" applyProtection="true">
      <alignment horizontal="general" vertical="top" textRotation="0" wrapText="true" indent="0" shrinkToFit="false"/>
      <protection locked="true" hidden="false"/>
    </xf>
    <xf numFmtId="164" fontId="25" fillId="0" borderId="1" xfId="0" applyFont="true" applyBorder="true" applyAlignment="true" applyProtection="true">
      <alignment horizontal="center" vertical="center" textRotation="0" wrapText="true" indent="0" shrinkToFit="false"/>
      <protection locked="true" hidden="false"/>
    </xf>
    <xf numFmtId="166" fontId="25" fillId="0" borderId="1" xfId="0" applyFont="true" applyBorder="true" applyAlignment="true" applyProtection="true">
      <alignment horizontal="center" vertical="center" textRotation="0" wrapText="true" indent="0" shrinkToFit="false"/>
      <protection locked="true" hidden="false"/>
    </xf>
    <xf numFmtId="169" fontId="25" fillId="0" borderId="1" xfId="0" applyFont="true" applyBorder="true" applyAlignment="true" applyProtection="true">
      <alignment horizontal="center" vertical="center" textRotation="0" wrapText="true" indent="0" shrinkToFit="false"/>
      <protection locked="true" hidden="false"/>
    </xf>
    <xf numFmtId="174" fontId="25" fillId="0" borderId="1" xfId="0" applyFont="true" applyBorder="true" applyAlignment="true" applyProtection="true">
      <alignment horizontal="center" vertical="center" textRotation="0" wrapText="true" indent="0" shrinkToFit="false"/>
      <protection locked="true" hidden="false"/>
    </xf>
    <xf numFmtId="164" fontId="20" fillId="6" borderId="1" xfId="0" applyFont="true" applyBorder="true" applyAlignment="true" applyProtection="true">
      <alignment horizontal="center" vertical="center" textRotation="0" wrapText="true" indent="0" shrinkToFit="false"/>
      <protection locked="true" hidden="false"/>
    </xf>
    <xf numFmtId="164" fontId="26" fillId="6" borderId="1" xfId="0" applyFont="true" applyBorder="true" applyAlignment="true" applyProtection="true">
      <alignment horizontal="center" vertical="center" textRotation="0" wrapText="true" indent="0" shrinkToFit="false"/>
      <protection locked="true" hidden="false"/>
    </xf>
    <xf numFmtId="167" fontId="23" fillId="0" borderId="1" xfId="0" applyFont="true" applyBorder="true" applyAlignment="true" applyProtection="true">
      <alignment horizontal="center" vertical="center" textRotation="0" wrapText="true" indent="0" shrinkToFit="false"/>
      <protection locked="true" hidden="false"/>
    </xf>
    <xf numFmtId="166" fontId="23" fillId="0" borderId="1" xfId="0" applyFont="true" applyBorder="true" applyAlignment="true" applyProtection="true">
      <alignment horizontal="center" vertical="center" textRotation="0" wrapText="true" indent="0" shrinkToFit="false"/>
      <protection locked="true" hidden="false"/>
    </xf>
    <xf numFmtId="175" fontId="23" fillId="0" borderId="1" xfId="0" applyFont="true" applyBorder="true" applyAlignment="true" applyProtection="true">
      <alignment horizontal="center" vertical="center" textRotation="0" wrapText="true" indent="0" shrinkToFit="false"/>
      <protection locked="true" hidden="false"/>
    </xf>
    <xf numFmtId="176" fontId="23" fillId="0" borderId="1" xfId="0" applyFont="true" applyBorder="true" applyAlignment="true" applyProtection="true">
      <alignment horizontal="center" vertical="center" textRotation="0" wrapText="true" indent="0" shrinkToFit="false"/>
      <protection locked="true" hidden="false"/>
    </xf>
    <xf numFmtId="164" fontId="23" fillId="0" borderId="1" xfId="0" applyFont="true" applyBorder="true" applyAlignment="true" applyProtection="true">
      <alignment horizontal="left" vertical="center" textRotation="0" wrapText="true" indent="0" shrinkToFit="false"/>
      <protection locked="true" hidden="false"/>
    </xf>
    <xf numFmtId="176" fontId="27" fillId="6" borderId="1" xfId="0" applyFont="true" applyBorder="true" applyAlignment="true" applyProtection="true">
      <alignment horizontal="center" vertical="center" textRotation="0" wrapText="true" indent="0" shrinkToFit="false"/>
      <protection locked="true" hidden="false"/>
    </xf>
    <xf numFmtId="174" fontId="28" fillId="6" borderId="1" xfId="0" applyFont="true" applyBorder="true" applyAlignment="true" applyProtection="true">
      <alignment horizontal="center" vertical="center" textRotation="0" wrapText="true" indent="0" shrinkToFit="false"/>
      <protection locked="true" hidden="false"/>
    </xf>
    <xf numFmtId="165" fontId="23" fillId="0" borderId="1" xfId="0" applyFont="true" applyBorder="true" applyAlignment="true" applyProtection="true">
      <alignment horizontal="center" vertical="center" textRotation="0" wrapText="true" indent="0" shrinkToFit="false"/>
      <protection locked="true" hidden="false"/>
    </xf>
    <xf numFmtId="166" fontId="23" fillId="4" borderId="1" xfId="0" applyFont="true" applyBorder="true" applyAlignment="true" applyProtection="true">
      <alignment horizontal="center" vertical="center" textRotation="0" wrapText="true" indent="0" shrinkToFit="false"/>
      <protection locked="true" hidden="false"/>
    </xf>
    <xf numFmtId="169" fontId="23" fillId="0" borderId="1" xfId="0" applyFont="true" applyBorder="true" applyAlignment="true" applyProtection="true">
      <alignment horizontal="center" vertical="center" textRotation="0" wrapText="true" indent="0" shrinkToFit="false"/>
      <protection locked="true" hidden="false"/>
    </xf>
    <xf numFmtId="169" fontId="9" fillId="4" borderId="1" xfId="0" applyFont="true" applyBorder="true" applyAlignment="true" applyProtection="true">
      <alignment horizontal="center" vertical="center" textRotation="0" wrapText="true" indent="0" shrinkToFit="false"/>
      <protection locked="true" hidden="false"/>
    </xf>
    <xf numFmtId="169" fontId="9" fillId="0" borderId="1" xfId="0" applyFont="true" applyBorder="true" applyAlignment="true" applyProtection="true">
      <alignment horizontal="center" vertical="center" textRotation="0" wrapText="true" indent="0" shrinkToFit="false"/>
      <protection locked="true" hidden="false"/>
    </xf>
    <xf numFmtId="165" fontId="9" fillId="0" borderId="1" xfId="0" applyFont="true" applyBorder="true" applyAlignment="true" applyProtection="true">
      <alignment horizontal="center" vertical="center" textRotation="0" wrapText="true" indent="0" shrinkToFit="false"/>
      <protection locked="true" hidden="false"/>
    </xf>
    <xf numFmtId="175" fontId="16" fillId="0" borderId="0" xfId="0" applyFont="true" applyBorder="false" applyAlignment="true" applyProtection="true">
      <alignment horizontal="general" vertical="bottom" textRotation="0" wrapText="false" indent="0" shrinkToFit="false"/>
      <protection locked="true" hidden="false"/>
    </xf>
    <xf numFmtId="170" fontId="0" fillId="0" borderId="0" xfId="0" applyFont="false" applyBorder="false" applyAlignment="true" applyProtection="true">
      <alignment horizontal="general" vertical="bottom" textRotation="0" wrapText="false" indent="0" shrinkToFit="false"/>
      <protection locked="true" hidden="false"/>
    </xf>
    <xf numFmtId="173" fontId="0" fillId="0" borderId="0" xfId="0" applyFont="false" applyBorder="false" applyAlignment="true" applyProtection="true">
      <alignment horizontal="general" vertical="bottom" textRotation="0" wrapText="false" indent="0" shrinkToFit="false"/>
      <protection locked="true" hidden="false"/>
    </xf>
    <xf numFmtId="164" fontId="15" fillId="7" borderId="0" xfId="0" applyFont="true" applyBorder="false" applyAlignment="true" applyProtection="true">
      <alignment horizontal="general" vertical="bottom" textRotation="0" wrapText="false" indent="0" shrinkToFit="false"/>
      <protection locked="true" hidden="false"/>
    </xf>
    <xf numFmtId="173" fontId="15" fillId="7"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left" vertical="top" textRotation="0" wrapText="true" indent="0" shrinkToFit="false"/>
      <protection locked="true" hidden="false"/>
    </xf>
    <xf numFmtId="164" fontId="29" fillId="0" borderId="1" xfId="0" applyFont="true" applyBorder="true" applyAlignment="true" applyProtection="true">
      <alignment horizontal="left" vertical="center" textRotation="0" wrapText="true" indent="0" shrinkToFit="false"/>
      <protection locked="true" hidden="false"/>
    </xf>
    <xf numFmtId="167" fontId="15" fillId="0" borderId="1" xfId="0" applyFont="true" applyBorder="true" applyAlignment="true" applyProtection="true">
      <alignment horizontal="center" vertical="center" textRotation="0" wrapText="true" indent="0" shrinkToFit="false"/>
      <protection locked="true" hidden="false"/>
    </xf>
    <xf numFmtId="164" fontId="15" fillId="0" borderId="1" xfId="0" applyFont="true" applyBorder="true" applyAlignment="true" applyProtection="true">
      <alignment horizontal="center" vertical="center" textRotation="0" wrapText="true" indent="0" shrinkToFit="false"/>
      <protection locked="true" hidden="false"/>
    </xf>
    <xf numFmtId="164" fontId="29" fillId="0" borderId="1" xfId="0" applyFont="true" applyBorder="true" applyAlignment="true" applyProtection="true">
      <alignment horizontal="center" vertical="center" textRotation="0" wrapText="true" indent="0" shrinkToFit="false"/>
      <protection locked="true" hidden="false"/>
    </xf>
    <xf numFmtId="164" fontId="14" fillId="0" borderId="1" xfId="0" applyFont="true" applyBorder="true" applyAlignment="true" applyProtection="true">
      <alignment horizontal="left" vertical="top" textRotation="0" wrapText="tru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70" fontId="1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bgColor rgb="FFFCE3E3"/>
        </patternFill>
      </fill>
    </dxf>
    <dxf>
      <fill>
        <patternFill>
          <bgColor rgb="FFFFF2CC"/>
        </patternFill>
      </fill>
    </dxf>
    <dxf>
      <fill>
        <patternFill>
          <bgColor rgb="FFD9F2D9"/>
        </patternFill>
      </fill>
    </dxf>
    <dxf>
      <font>
        <name val="Arial"/>
        <charset val="1"/>
        <family val="0"/>
        <b val="1"/>
        <color rgb="FF006100"/>
        <sz val="10"/>
      </font>
      <fill>
        <patternFill>
          <bgColor rgb="FFE2EFDA"/>
        </patternFill>
      </fill>
    </dxf>
    <dxf>
      <font>
        <name val="Arial"/>
        <charset val="1"/>
        <family val="0"/>
        <b val="1"/>
        <color rgb="FF9C0006"/>
        <sz val="10"/>
      </font>
      <fill>
        <patternFill>
          <bgColor rgb="FFFCE4D6"/>
        </patternFill>
      </fill>
    </dxf>
    <dxf>
      <font>
        <name val="Arial"/>
        <charset val="1"/>
        <family val="0"/>
        <b val="1"/>
        <color rgb="FF666666"/>
        <sz val="10"/>
      </font>
    </dxf>
    <dxf>
      <font>
        <name val="Arial"/>
        <charset val="1"/>
        <family val="0"/>
        <b val="1"/>
        <color rgb="FF9C5700"/>
        <sz val="10"/>
      </font>
      <fill>
        <patternFill>
          <bgColor rgb="FFFFF2CC"/>
        </patternFill>
      </fill>
    </dxf>
    <dxf>
      <font>
        <name val="Arial"/>
        <charset val="1"/>
        <family val="0"/>
        <b val="1"/>
        <color rgb="FF9C5700"/>
        <sz val="10"/>
      </font>
      <fill>
        <patternFill>
          <bgColor rgb="FFFCE4D6"/>
        </patternFill>
      </fill>
    </dxf>
    <dxf>
      <fill>
        <patternFill>
          <bgColor rgb="FFD9E1F2"/>
        </patternFill>
      </fill>
    </dxf>
    <dxf>
      <fill>
        <patternFill>
          <bgColor rgb="FFFCE4D6"/>
        </patternFill>
      </fill>
    </dxf>
    <dxf>
      <font>
        <name val="Arial"/>
        <charset val="1"/>
        <family val="0"/>
        <b val="1"/>
        <color rgb="FFFFFFFF"/>
        <sz val="11"/>
      </font>
      <fill>
        <patternFill>
          <bgColor rgb="FFC00000"/>
        </patternFill>
      </fill>
    </dxf>
    <dxf>
      <fill>
        <patternFill>
          <bgColor rgb="FFF8CBAD"/>
        </patternFill>
      </fill>
    </dxf>
    <dxf>
      <fill>
        <patternFill>
          <bgColor rgb="FFE2EFDA"/>
        </patternFill>
      </fill>
    </dxf>
    <dxf>
      <font>
        <name val="Arial"/>
        <charset val="1"/>
        <family val="0"/>
        <b val="1"/>
        <color rgb="FF006100"/>
      </font>
      <fill>
        <patternFill>
          <bgColor rgb="FFE2EFDA"/>
        </patternFill>
      </fill>
    </dxf>
    <dxf>
      <font>
        <name val="Arial"/>
        <charset val="1"/>
        <family val="0"/>
        <b val="1"/>
        <color rgb="FF9C0006"/>
      </font>
      <fill>
        <patternFill>
          <bgColor rgb="FFFCE4D6"/>
        </patternFill>
      </fill>
    </dxf>
    <dxf>
      <font>
        <name val="Arial"/>
        <charset val="1"/>
        <family val="0"/>
        <b val="1"/>
        <color rgb="FF006100"/>
      </font>
      <fill>
        <patternFill>
          <bgColor rgb="FFD9F2D9"/>
        </patternFill>
      </fill>
    </dxf>
    <dxf>
      <font>
        <name val="Arial"/>
        <charset val="1"/>
        <family val="0"/>
        <b val="1"/>
        <color rgb="FFC00000"/>
      </font>
      <fill>
        <patternFill>
          <bgColor rgb="FFFCE3E3"/>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0B0B0"/>
      <rgbColor rgb="FF808080"/>
      <rgbColor rgb="FF5B9BD5"/>
      <rgbColor rgb="FF993366"/>
      <rgbColor rgb="FFFFF2CC"/>
      <rgbColor rgb="FFE2EFDA"/>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F2F2F2"/>
      <rgbColor rgb="FFD9F2D9"/>
      <rgbColor rgb="FFFCE4D6"/>
      <rgbColor rgb="FFE7E6E6"/>
      <rgbColor rgb="FFFCE3E3"/>
      <rgbColor rgb="FFCC99FF"/>
      <rgbColor rgb="FFF8CBAD"/>
      <rgbColor rgb="FF4472C4"/>
      <rgbColor rgb="FF33CCCC"/>
      <rgbColor rgb="FF99CC00"/>
      <rgbColor rgb="FFFFCC00"/>
      <rgbColor rgb="FFFF9900"/>
      <rgbColor rgb="FFED7D31"/>
      <rgbColor rgb="FF666666"/>
      <rgbColor rgb="FFA5A5A5"/>
      <rgbColor rgb="FF1F3864"/>
      <rgbColor rgb="FF70AD47"/>
      <rgbColor rgb="FF003300"/>
      <rgbColor rgb="FF333300"/>
      <rgbColor rgb="FF9C5700"/>
      <rgbColor rgb="FF993366"/>
      <rgbColor rgb="FF2E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H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8" min="2" style="1" width="95"/>
  </cols>
  <sheetData>
    <row r="1" customFormat="false" ht="33.75" hidden="false" customHeight="true" outlineLevel="0" collapsed="false">
      <c r="A1" s="2" t="s">
        <v>0</v>
      </c>
      <c r="B1" s="2"/>
      <c r="C1" s="2"/>
      <c r="D1" s="2"/>
      <c r="E1" s="2"/>
      <c r="F1" s="2"/>
      <c r="G1" s="2"/>
      <c r="H1" s="2"/>
    </row>
    <row r="3" customFormat="false" ht="15" hidden="false" customHeight="true" outlineLevel="0" collapsed="false">
      <c r="A3" s="3" t="s">
        <v>1</v>
      </c>
      <c r="B3" s="3"/>
      <c r="C3" s="3"/>
      <c r="D3" s="3"/>
      <c r="E3" s="3"/>
      <c r="F3" s="3"/>
      <c r="G3" s="3"/>
      <c r="H3" s="3"/>
    </row>
    <row r="4" customFormat="false" ht="42" hidden="false" customHeight="true" outlineLevel="0" collapsed="false">
      <c r="A4" s="4" t="s">
        <v>2</v>
      </c>
      <c r="B4" s="4"/>
      <c r="C4" s="4"/>
      <c r="D4" s="4"/>
      <c r="E4" s="4"/>
      <c r="F4" s="4"/>
      <c r="G4" s="4"/>
      <c r="H4" s="4"/>
    </row>
    <row r="6" customFormat="false" ht="15" hidden="false" customHeight="true" outlineLevel="0" collapsed="false">
      <c r="A6" s="3" t="s">
        <v>3</v>
      </c>
      <c r="B6" s="3"/>
      <c r="C6" s="3"/>
      <c r="D6" s="3"/>
      <c r="E6" s="3"/>
      <c r="F6" s="3"/>
      <c r="G6" s="3"/>
      <c r="H6" s="3"/>
    </row>
    <row r="7" customFormat="false" ht="109.5" hidden="false" customHeight="true" outlineLevel="0" collapsed="false">
      <c r="A7" s="4" t="s">
        <v>4</v>
      </c>
      <c r="B7" s="4"/>
      <c r="C7" s="4"/>
      <c r="D7" s="4"/>
      <c r="E7" s="4"/>
      <c r="F7" s="4"/>
      <c r="G7" s="4"/>
      <c r="H7" s="4"/>
    </row>
    <row r="9" customFormat="false" ht="15" hidden="false" customHeight="true" outlineLevel="0" collapsed="false">
      <c r="A9" s="3" t="s">
        <v>5</v>
      </c>
      <c r="B9" s="3"/>
      <c r="C9" s="3"/>
      <c r="D9" s="3"/>
      <c r="E9" s="3"/>
      <c r="F9" s="3"/>
      <c r="G9" s="3"/>
      <c r="H9" s="3"/>
    </row>
    <row r="10" customFormat="false" ht="42" hidden="false" customHeight="true" outlineLevel="0" collapsed="false">
      <c r="A10" s="4" t="s">
        <v>6</v>
      </c>
      <c r="B10" s="4"/>
      <c r="C10" s="4"/>
      <c r="D10" s="4"/>
      <c r="E10" s="4"/>
      <c r="F10" s="4"/>
      <c r="G10" s="4"/>
      <c r="H10" s="4"/>
    </row>
    <row r="12" customFormat="false" ht="15" hidden="false" customHeight="true" outlineLevel="0" collapsed="false">
      <c r="A12" s="3" t="s">
        <v>7</v>
      </c>
      <c r="B12" s="3"/>
      <c r="C12" s="3"/>
      <c r="D12" s="3"/>
      <c r="E12" s="3"/>
      <c r="F12" s="3"/>
      <c r="G12" s="3"/>
      <c r="H12" s="3"/>
    </row>
    <row r="13" customFormat="false" ht="42" hidden="false" customHeight="true" outlineLevel="0" collapsed="false">
      <c r="A13" s="4" t="s">
        <v>8</v>
      </c>
      <c r="B13" s="4"/>
      <c r="C13" s="4"/>
      <c r="D13" s="4"/>
      <c r="E13" s="4"/>
      <c r="F13" s="4"/>
      <c r="G13" s="4"/>
      <c r="H13" s="4"/>
    </row>
    <row r="15" customFormat="false" ht="15" hidden="false" customHeight="true" outlineLevel="0" collapsed="false">
      <c r="A15" s="3" t="s">
        <v>9</v>
      </c>
      <c r="B15" s="3"/>
      <c r="C15" s="3"/>
      <c r="D15" s="3"/>
      <c r="E15" s="3"/>
      <c r="F15" s="3"/>
      <c r="G15" s="3"/>
      <c r="H15" s="3"/>
    </row>
    <row r="16" customFormat="false" ht="42" hidden="false" customHeight="true" outlineLevel="0" collapsed="false">
      <c r="A16" s="4" t="s">
        <v>10</v>
      </c>
      <c r="B16" s="4"/>
      <c r="C16" s="4"/>
      <c r="D16" s="4"/>
      <c r="E16" s="4"/>
      <c r="F16" s="4"/>
      <c r="G16" s="4"/>
      <c r="H16" s="4"/>
    </row>
    <row r="18" customFormat="false" ht="15" hidden="false" customHeight="true" outlineLevel="0" collapsed="false">
      <c r="A18" s="3" t="s">
        <v>11</v>
      </c>
      <c r="B18" s="3"/>
      <c r="C18" s="3"/>
      <c r="D18" s="3"/>
      <c r="E18" s="3"/>
      <c r="F18" s="3"/>
      <c r="G18" s="3"/>
      <c r="H18" s="3"/>
    </row>
    <row r="19" customFormat="false" ht="42" hidden="false" customHeight="true" outlineLevel="0" collapsed="false">
      <c r="A19" s="4" t="s">
        <v>12</v>
      </c>
      <c r="B19" s="4"/>
      <c r="C19" s="4"/>
      <c r="D19" s="4"/>
      <c r="E19" s="4"/>
      <c r="F19" s="4"/>
      <c r="G19" s="4"/>
      <c r="H19" s="4"/>
    </row>
    <row r="21" customFormat="false" ht="15" hidden="false" customHeight="true" outlineLevel="0" collapsed="false">
      <c r="A21" s="3" t="s">
        <v>13</v>
      </c>
      <c r="B21" s="3"/>
      <c r="C21" s="3"/>
      <c r="D21" s="3"/>
      <c r="E21" s="3"/>
      <c r="F21" s="3"/>
      <c r="G21" s="3"/>
      <c r="H21" s="3"/>
    </row>
    <row r="22" customFormat="false" ht="42" hidden="false" customHeight="true" outlineLevel="0" collapsed="false">
      <c r="A22" s="4" t="s">
        <v>14</v>
      </c>
      <c r="B22" s="4"/>
      <c r="C22" s="4"/>
      <c r="D22" s="4"/>
      <c r="E22" s="4"/>
      <c r="F22" s="4"/>
      <c r="G22" s="4"/>
      <c r="H22" s="4"/>
    </row>
    <row r="24" customFormat="false" ht="15" hidden="false" customHeight="true" outlineLevel="0" collapsed="false">
      <c r="A24" s="3" t="s">
        <v>15</v>
      </c>
      <c r="B24" s="3"/>
      <c r="C24" s="3"/>
      <c r="D24" s="3"/>
      <c r="E24" s="3"/>
      <c r="F24" s="3"/>
      <c r="G24" s="3"/>
      <c r="H24" s="3"/>
    </row>
    <row r="25" customFormat="false" ht="42" hidden="false" customHeight="true" outlineLevel="0" collapsed="false">
      <c r="A25" s="4" t="s">
        <v>16</v>
      </c>
      <c r="B25" s="4"/>
      <c r="C25" s="4"/>
      <c r="D25" s="4"/>
      <c r="E25" s="4"/>
      <c r="F25" s="4"/>
      <c r="G25" s="4"/>
      <c r="H25" s="4"/>
    </row>
    <row r="27" customFormat="false" ht="15" hidden="false" customHeight="true" outlineLevel="0" collapsed="false">
      <c r="A27" s="5" t="s">
        <v>17</v>
      </c>
    </row>
    <row r="28" customFormat="false" ht="199.5" hidden="false" customHeight="true" outlineLevel="0" collapsed="false">
      <c r="A28" s="4" t="s">
        <v>18</v>
      </c>
      <c r="B28" s="4"/>
      <c r="C28" s="4"/>
      <c r="D28" s="4"/>
      <c r="E28" s="4"/>
      <c r="F28" s="4"/>
      <c r="G28" s="4"/>
      <c r="H28" s="4"/>
    </row>
    <row r="30" customFormat="false" ht="15" hidden="false" customHeight="true" outlineLevel="0" collapsed="false">
      <c r="A30" s="5" t="s">
        <v>19</v>
      </c>
    </row>
    <row r="31" customFormat="false" ht="15" hidden="false" customHeight="true" outlineLevel="0" collapsed="false">
      <c r="A31" s="6" t="str">
        <f aca="false">HYPERLINK("#'SETTINGS'!A1","SETTINGS")</f>
        <v>SETTINGS</v>
      </c>
      <c r="B31" s="7" t="s">
        <v>20</v>
      </c>
    </row>
    <row r="32" customFormat="false" ht="15" hidden="false" customHeight="true" outlineLevel="0" collapsed="false">
      <c r="A32" s="6" t="str">
        <f aca="false">HYPERLINK("#'OWNER_INPUTS'!A1","OWNER_INPUTS")</f>
        <v>OWNER_INPUTS</v>
      </c>
      <c r="B32" s="7" t="s">
        <v>21</v>
      </c>
    </row>
    <row r="33" customFormat="false" ht="15" hidden="false" customHeight="true" outlineLevel="0" collapsed="false">
      <c r="A33" s="6" t="str">
        <f aca="false">HYPERLINK("#'COMPETITOR_BENCHMARK'!A1","COMPETITOR_BENCHMARK")</f>
        <v>COMPETITOR_BENCHMARK</v>
      </c>
      <c r="B33" s="7" t="s">
        <v>22</v>
      </c>
    </row>
    <row r="34" customFormat="false" ht="15" hidden="false" customHeight="true" outlineLevel="0" collapsed="false">
      <c r="A34" s="6" t="str">
        <f aca="false">HYPERLINK("#'OWNER_RESULTS'!A1","OWNER_RESULTS")</f>
        <v>OWNER_RESULTS</v>
      </c>
      <c r="B34" s="7" t="s">
        <v>23</v>
      </c>
    </row>
    <row r="35" customFormat="false" ht="15" hidden="false" customHeight="true" outlineLevel="0" collapsed="false">
      <c r="A35" s="6" t="str">
        <f aca="false">HYPERLINK("#'CATEGORY_PRIORS'!A1","CATEGORY_PRIORS")</f>
        <v>CATEGORY_PRIORS</v>
      </c>
      <c r="B35" s="7" t="s">
        <v>24</v>
      </c>
    </row>
    <row r="36" customFormat="false" ht="15" hidden="false" customHeight="true" outlineLevel="0" collapsed="false">
      <c r="A36" s="6" t="str">
        <f aca="false">HYPERLINK("#'PSYCHOLOGY_RULES'!A1","PSYCHOLOGY_RULES")</f>
        <v>PSYCHOLOGY_RULES</v>
      </c>
      <c r="B36" s="7" t="s">
        <v>25</v>
      </c>
    </row>
    <row r="37" customFormat="false" ht="15" hidden="false" customHeight="true" outlineLevel="0" collapsed="false">
      <c r="A37" s="6" t="str">
        <f aca="false">HYPERLINK("#'MENU_ENGINEERING'!A1","MENU_ENGINEERING")</f>
        <v>MENU_ENGINEERING</v>
      </c>
      <c r="B37" s="7" t="s">
        <v>26</v>
      </c>
    </row>
    <row r="38" customFormat="false" ht="15" hidden="false" customHeight="true" outlineLevel="0" collapsed="false">
      <c r="A38" s="6" t="str">
        <f aca="false">HYPERLINK("#'SALES_DATA'!A1","SALES_DATA")</f>
        <v>SALES_DATA</v>
      </c>
      <c r="B38" s="7" t="s">
        <v>27</v>
      </c>
    </row>
    <row r="39" customFormat="false" ht="15" hidden="false" customHeight="true" outlineLevel="0" collapsed="false">
      <c r="A39" s="6" t="str">
        <f aca="false">HYPERLINK("#'CALIBRATION'!A1","CALIBRATION")</f>
        <v>CALIBRATION</v>
      </c>
      <c r="B39" s="7" t="s">
        <v>28</v>
      </c>
    </row>
    <row r="40" customFormat="false" ht="15" hidden="false" customHeight="true" outlineLevel="0" collapsed="false">
      <c r="A40" s="6" t="str">
        <f aca="false">HYPERLINK("#'OPTIMIZER'!A1","OPTIMIZER")</f>
        <v>OPTIMIZER</v>
      </c>
      <c r="B40" s="7" t="s">
        <v>29</v>
      </c>
    </row>
    <row r="41" customFormat="false" ht="15" hidden="false" customHeight="true" outlineLevel="0" collapsed="false">
      <c r="A41" s="6" t="str">
        <f aca="false">HYPERLINK("#'SENSITIVITY'!A1","SENSITIVITY")</f>
        <v>SENSITIVITY</v>
      </c>
      <c r="B41" s="7" t="s">
        <v>30</v>
      </c>
    </row>
    <row r="42" customFormat="false" ht="15" hidden="false" customHeight="true" outlineLevel="0" collapsed="false">
      <c r="A42" s="6" t="str">
        <f aca="false">HYPERLINK("#'QA_CHECKS'!A1","QA_CHECKS")</f>
        <v>QA_CHECKS</v>
      </c>
      <c r="B42" s="7" t="s">
        <v>31</v>
      </c>
    </row>
  </sheetData>
  <mergeCells count="18">
    <mergeCell ref="A1:H1"/>
    <mergeCell ref="A3:H3"/>
    <mergeCell ref="A4:H4"/>
    <mergeCell ref="A6:H6"/>
    <mergeCell ref="A7:H7"/>
    <mergeCell ref="A9:H9"/>
    <mergeCell ref="A10:H10"/>
    <mergeCell ref="A12:H12"/>
    <mergeCell ref="A13:H13"/>
    <mergeCell ref="A15:H15"/>
    <mergeCell ref="A16:H16"/>
    <mergeCell ref="A18:H18"/>
    <mergeCell ref="A19:H19"/>
    <mergeCell ref="A21:H21"/>
    <mergeCell ref="A22:H22"/>
    <mergeCell ref="A24:H24"/>
    <mergeCell ref="A25:H25"/>
    <mergeCell ref="A28:H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14"/>
    <col collapsed="false" customWidth="true" hidden="false" outlineLevel="0" max="3" min="3" style="1" width="70"/>
    <col collapsed="false" customWidth="true" hidden="false" outlineLevel="0" max="4" min="4" style="1" width="14"/>
  </cols>
  <sheetData>
    <row r="1" customFormat="false" ht="25.5" hidden="false" customHeight="true" outlineLevel="0" collapsed="false">
      <c r="A1" s="2" t="s">
        <v>32</v>
      </c>
      <c r="B1" s="2"/>
      <c r="C1" s="2"/>
      <c r="D1" s="2"/>
    </row>
    <row r="3" customFormat="false" ht="15" hidden="false" customHeight="true" outlineLevel="0" collapsed="false">
      <c r="A3" s="8" t="s">
        <v>33</v>
      </c>
      <c r="B3" s="8"/>
      <c r="C3" s="8"/>
      <c r="D3" s="8"/>
    </row>
    <row r="4" customFormat="false" ht="15" hidden="false" customHeight="true" outlineLevel="0" collapsed="false">
      <c r="A4" s="9" t="s">
        <v>34</v>
      </c>
      <c r="B4" s="10" t="s">
        <v>35</v>
      </c>
      <c r="C4" s="11" t="s">
        <v>36</v>
      </c>
      <c r="D4" s="11"/>
    </row>
    <row r="5" customFormat="false" ht="15" hidden="false" customHeight="true" outlineLevel="0" collapsed="false">
      <c r="A5" s="9" t="s">
        <v>37</v>
      </c>
      <c r="B5" s="10" t="n">
        <v>0.1</v>
      </c>
      <c r="C5" s="11" t="s">
        <v>38</v>
      </c>
      <c r="D5" s="11"/>
    </row>
    <row r="6" customFormat="false" ht="15" hidden="false" customHeight="true" outlineLevel="0" collapsed="false">
      <c r="A6" s="9" t="s">
        <v>39</v>
      </c>
      <c r="B6" s="10" t="s">
        <v>40</v>
      </c>
      <c r="C6" s="11" t="s">
        <v>41</v>
      </c>
      <c r="D6" s="11"/>
    </row>
    <row r="8" customFormat="false" ht="15" hidden="false" customHeight="true" outlineLevel="0" collapsed="false">
      <c r="A8" s="8" t="s">
        <v>42</v>
      </c>
      <c r="B8" s="8"/>
      <c r="C8" s="8"/>
      <c r="D8" s="8"/>
    </row>
    <row r="9" customFormat="false" ht="15" hidden="false" customHeight="true" outlineLevel="0" collapsed="false">
      <c r="A9" s="9" t="s">
        <v>43</v>
      </c>
      <c r="B9" s="12" t="n">
        <v>0.1</v>
      </c>
      <c r="C9" s="11" t="s">
        <v>44</v>
      </c>
      <c r="D9" s="11"/>
    </row>
    <row r="10" customFormat="false" ht="15" hidden="false" customHeight="true" outlineLevel="0" collapsed="false">
      <c r="A10" s="9" t="s">
        <v>45</v>
      </c>
      <c r="B10" s="12" t="n">
        <v>-0.05</v>
      </c>
      <c r="C10" s="11" t="s">
        <v>46</v>
      </c>
      <c r="D10" s="11"/>
    </row>
    <row r="11" customFormat="false" ht="15" hidden="false" customHeight="true" outlineLevel="0" collapsed="false">
      <c r="A11" s="9" t="s">
        <v>47</v>
      </c>
      <c r="B11" s="12" t="n">
        <v>1</v>
      </c>
      <c r="C11" s="11" t="s">
        <v>48</v>
      </c>
      <c r="D11" s="11"/>
    </row>
    <row r="12" customFormat="false" ht="15" hidden="false" customHeight="true" outlineLevel="0" collapsed="false">
      <c r="A12" s="9" t="s">
        <v>49</v>
      </c>
      <c r="B12" s="12" t="n">
        <v>0.5</v>
      </c>
      <c r="C12" s="11" t="s">
        <v>50</v>
      </c>
      <c r="D12" s="11"/>
    </row>
    <row r="13" customFormat="false" ht="15" hidden="false" customHeight="true" outlineLevel="0" collapsed="false">
      <c r="A13" s="9" t="s">
        <v>51</v>
      </c>
      <c r="B13" s="12" t="n">
        <v>0.25</v>
      </c>
      <c r="C13" s="11" t="s">
        <v>52</v>
      </c>
      <c r="D13" s="11"/>
    </row>
    <row r="15" customFormat="false" ht="15" hidden="false" customHeight="true" outlineLevel="0" collapsed="false">
      <c r="A15" s="8" t="s">
        <v>53</v>
      </c>
      <c r="B15" s="8"/>
      <c r="C15" s="8"/>
      <c r="D15" s="8"/>
    </row>
    <row r="16" customFormat="false" ht="21.75" hidden="false" customHeight="true" outlineLevel="0" collapsed="false">
      <c r="A16" s="9" t="s">
        <v>54</v>
      </c>
      <c r="B16" s="10" t="s">
        <v>55</v>
      </c>
      <c r="C16" s="13" t="s">
        <v>56</v>
      </c>
      <c r="D16" s="13"/>
    </row>
  </sheetData>
  <mergeCells count="13">
    <mergeCell ref="A1:D1"/>
    <mergeCell ref="A3:D3"/>
    <mergeCell ref="C4:D4"/>
    <mergeCell ref="C5:D5"/>
    <mergeCell ref="C6:D6"/>
    <mergeCell ref="A8:D8"/>
    <mergeCell ref="C9:D9"/>
    <mergeCell ref="C10:D10"/>
    <mergeCell ref="C11:D11"/>
    <mergeCell ref="C12:D12"/>
    <mergeCell ref="C13:D13"/>
    <mergeCell ref="A15:D15"/>
    <mergeCell ref="C16:D16"/>
  </mergeCells>
  <dataValidations count="7">
    <dataValidation allowBlank="false" errorStyle="stop" operator="between" prompt="Display label for all prices. Charm pricing fires for low-denomination currencies (when round step ≤ 0.50)." promptTitle="Currency" showDropDown="false" showErrorMessage="false" showInputMessage="true" sqref="B4" type="list">
      <formula1>"USD,EUR,GBP,AUD,CAD,IDR,JPY,MYR,PHP,THB,VND"</formula1>
      <formula2>0</formula2>
    </dataValidation>
    <dataValidation allowBlank="false" errorStyle="stop" operator="between" prompt="Smallest unit prices snap to. For USD/EUR: 0.05 or 0.10. For IDR: 500 or 1000." promptTitle="Round to nearest" showDropDown="false" showErrorMessage="false" showInputMessage="true" sqref="B5" type="list">
      <formula1>"0.01,0.05,0.10,0.50,1.00,500,1000,5000"</formula1>
      <formula2>0</formula2>
    </dataValidation>
    <dataValidation allowBlank="false" errorStyle="stop" operator="between" prompt="&quot;.00&quot; = no charm. &quot;.90&quot;/&quot;.95&quot;/&quot;.99&quot; snap to psychological endings (only when round step ≤ 0.50)." promptTitle="Charm ending" showDropDown="false" showErrorMessage="false" showInputMessage="true" sqref="B6" type="list">
      <formula1>".00,.50,.90,.95,.99"</formula1>
      <formula2>0</formula2>
    </dataValidation>
    <dataValidation allowBlank="false" errorStyle="stop" operator="between" prompt="&quot;Yes&quot; runs the model against built-in synthetic sales data (for testing). &quot;No&quot; uses real SALES_DATA only." promptTitle="Demo mode" showDropDown="false" showErrorMessage="false" showInputMessage="true" sqref="B16" type="list">
      <formula1>"Yes,No"</formula1>
      <formula2>0</formula2>
    </dataValidation>
    <dataValidation allowBlank="false" errorStyle="stop" operator="between" prompt="The single largest price increase allowed for any item. Default 0.10 = +10%. Range 0 to 0.5." promptTitle="Max raise per item" showDropDown="false" showErrorMessage="false" showInputMessage="true" sqref="B9" type="decimal">
      <formula1>0</formula1>
      <formula2>0.5</formula2>
    </dataValidation>
    <dataValidation allowBlank="false" errorStyle="stop" operator="between" prompt="The single largest price decrease allowed for any item. Default -0.05 = -5%. Range -0.5 to 0." promptTitle="Max cut per item" showDropDown="false" showErrorMessage="false" showInputMessage="true" sqref="B10" type="decimal">
      <formula1>-0.5</formula1>
      <formula2>0</formula2>
    </dataValidation>
    <dataValidation allowBlank="false" errorStyle="stop" operator="between" prompt="How much of the Lerner-optimal move to take. Default: HIGH=1.0, MEDIUM=0.5, LOW=0.25." promptTitle="Confidence shrinkage" showDropDown="false" showErrorMessage="false" showInputMessage="true" sqref="B11:B13"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H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18"/>
    <col collapsed="false" customWidth="true" hidden="false" outlineLevel="0" max="4" min="4" style="1" width="17"/>
    <col collapsed="false" customWidth="true" hidden="false" outlineLevel="0" max="5" min="5" style="1" width="13"/>
    <col collapsed="false" customWidth="true" hidden="false" outlineLevel="0" max="6" min="6" style="1" width="14"/>
    <col collapsed="false" customWidth="true" hidden="false" outlineLevel="0" max="7" min="7" style="1" width="22"/>
    <col collapsed="false" customWidth="true" hidden="false" outlineLevel="0" max="8" min="8" style="1" width="38"/>
  </cols>
  <sheetData>
    <row r="1" customFormat="false" ht="25.5" hidden="false" customHeight="true" outlineLevel="0" collapsed="false">
      <c r="A1" s="2" t="s">
        <v>57</v>
      </c>
      <c r="B1" s="2"/>
      <c r="C1" s="2"/>
      <c r="D1" s="2"/>
      <c r="E1" s="2"/>
      <c r="F1" s="2"/>
      <c r="G1" s="2"/>
      <c r="H1" s="2"/>
    </row>
    <row r="3" customFormat="false" ht="21.75" hidden="false" customHeight="true" outlineLevel="0" collapsed="false">
      <c r="A3" s="13" t="s">
        <v>58</v>
      </c>
      <c r="B3" s="13"/>
      <c r="C3" s="13"/>
      <c r="D3" s="13"/>
      <c r="E3" s="13"/>
      <c r="F3" s="13"/>
      <c r="G3" s="13"/>
      <c r="H3" s="13"/>
    </row>
    <row r="5" customFormat="false" ht="26.25" hidden="false" customHeight="true" outlineLevel="0" collapsed="false">
      <c r="A5" s="14" t="s">
        <v>59</v>
      </c>
      <c r="B5" s="14" t="s">
        <v>60</v>
      </c>
      <c r="C5" s="14" t="s">
        <v>61</v>
      </c>
      <c r="D5" s="14" t="s">
        <v>62</v>
      </c>
      <c r="E5" s="14" t="s">
        <v>63</v>
      </c>
      <c r="F5" s="14" t="s">
        <v>64</v>
      </c>
      <c r="G5" s="14" t="s">
        <v>65</v>
      </c>
      <c r="H5" s="14" t="s">
        <v>66</v>
      </c>
    </row>
    <row r="6" customFormat="false" ht="15" hidden="false" customHeight="true" outlineLevel="0" collapsed="false">
      <c r="A6" s="15" t="n">
        <v>1</v>
      </c>
      <c r="B6" s="16" t="s">
        <v>67</v>
      </c>
      <c r="C6" s="16" t="s">
        <v>68</v>
      </c>
      <c r="D6" s="16" t="s">
        <v>69</v>
      </c>
      <c r="E6" s="17" t="n">
        <v>1</v>
      </c>
      <c r="F6" s="17" t="n">
        <v>4.2</v>
      </c>
      <c r="G6" s="18" t="n">
        <v>1500</v>
      </c>
      <c r="H6" s="16" t="s">
        <v>70</v>
      </c>
    </row>
    <row r="7" customFormat="false" ht="15" hidden="false" customHeight="true" outlineLevel="0" collapsed="false">
      <c r="A7" s="15" t="n">
        <v>2</v>
      </c>
      <c r="B7" s="16" t="s">
        <v>71</v>
      </c>
      <c r="C7" s="16" t="s">
        <v>72</v>
      </c>
      <c r="D7" s="16" t="s">
        <v>73</v>
      </c>
      <c r="E7" s="17" t="n">
        <v>1.4</v>
      </c>
      <c r="F7" s="17" t="n">
        <v>4.8</v>
      </c>
      <c r="G7" s="18" t="n">
        <v>1200</v>
      </c>
      <c r="H7" s="16" t="s">
        <v>74</v>
      </c>
    </row>
    <row r="8" customFormat="false" ht="15" hidden="false" customHeight="true" outlineLevel="0" collapsed="false">
      <c r="A8" s="15" t="n">
        <v>3</v>
      </c>
      <c r="B8" s="16" t="s">
        <v>75</v>
      </c>
      <c r="C8" s="16" t="s">
        <v>76</v>
      </c>
      <c r="D8" s="16" t="s">
        <v>77</v>
      </c>
      <c r="E8" s="17" t="n">
        <v>4.2</v>
      </c>
      <c r="F8" s="17" t="n">
        <v>9.8</v>
      </c>
      <c r="G8" s="18" t="n">
        <v>900</v>
      </c>
      <c r="H8" s="16" t="s">
        <v>78</v>
      </c>
    </row>
    <row r="9" customFormat="false" ht="15" hidden="false" customHeight="true" outlineLevel="0" collapsed="false">
      <c r="A9" s="15" t="n">
        <v>4</v>
      </c>
      <c r="B9" s="16" t="s">
        <v>79</v>
      </c>
      <c r="C9" s="16" t="s">
        <v>76</v>
      </c>
      <c r="D9" s="16" t="s">
        <v>80</v>
      </c>
      <c r="E9" s="17" t="n">
        <v>4.5</v>
      </c>
      <c r="F9" s="17" t="n">
        <v>10.5</v>
      </c>
      <c r="G9" s="18" t="n">
        <v>1050</v>
      </c>
      <c r="H9" s="16"/>
    </row>
    <row r="10" customFormat="false" ht="15" hidden="false" customHeight="true" outlineLevel="0" collapsed="false">
      <c r="A10" s="15" t="n">
        <v>5</v>
      </c>
      <c r="B10" s="16" t="s">
        <v>81</v>
      </c>
      <c r="C10" s="16" t="s">
        <v>82</v>
      </c>
      <c r="D10" s="16" t="s">
        <v>83</v>
      </c>
      <c r="E10" s="17" t="n">
        <v>3.5</v>
      </c>
      <c r="F10" s="17" t="n">
        <v>8.8</v>
      </c>
      <c r="G10" s="18" t="n">
        <v>750</v>
      </c>
      <c r="H10" s="16"/>
    </row>
    <row r="11" customFormat="false" ht="15" hidden="false" customHeight="true" outlineLevel="0" collapsed="false">
      <c r="A11" s="15" t="n">
        <v>6</v>
      </c>
      <c r="B11" s="16" t="s">
        <v>84</v>
      </c>
      <c r="C11" s="16" t="s">
        <v>85</v>
      </c>
      <c r="D11" s="16" t="s">
        <v>73</v>
      </c>
      <c r="E11" s="17" t="n">
        <v>2.1</v>
      </c>
      <c r="F11" s="17" t="n">
        <v>5.8</v>
      </c>
      <c r="G11" s="18" t="n">
        <v>450</v>
      </c>
      <c r="H11" s="16" t="s">
        <v>86</v>
      </c>
    </row>
    <row r="12" customFormat="false" ht="15" hidden="false" customHeight="true" outlineLevel="0" collapsed="false">
      <c r="A12" s="15" t="n">
        <v>7</v>
      </c>
      <c r="B12" s="16"/>
      <c r="C12" s="16"/>
      <c r="D12" s="16"/>
      <c r="E12" s="17"/>
      <c r="F12" s="17"/>
      <c r="G12" s="18"/>
      <c r="H12" s="16"/>
    </row>
    <row r="13" customFormat="false" ht="15" hidden="false" customHeight="true" outlineLevel="0" collapsed="false">
      <c r="A13" s="15" t="n">
        <v>8</v>
      </c>
      <c r="B13" s="16"/>
      <c r="C13" s="16"/>
      <c r="D13" s="16"/>
      <c r="E13" s="17"/>
      <c r="F13" s="17"/>
      <c r="G13" s="18"/>
      <c r="H13" s="16"/>
    </row>
    <row r="14" customFormat="false" ht="15" hidden="false" customHeight="true" outlineLevel="0" collapsed="false">
      <c r="A14" s="15" t="n">
        <v>9</v>
      </c>
      <c r="B14" s="16"/>
      <c r="C14" s="16"/>
      <c r="D14" s="16"/>
      <c r="E14" s="17"/>
      <c r="F14" s="17"/>
      <c r="G14" s="18"/>
      <c r="H14" s="16"/>
    </row>
    <row r="15" customFormat="false" ht="15" hidden="false" customHeight="true" outlineLevel="0" collapsed="false">
      <c r="A15" s="15" t="n">
        <v>10</v>
      </c>
      <c r="B15" s="16"/>
      <c r="C15" s="16"/>
      <c r="D15" s="16"/>
      <c r="E15" s="17"/>
      <c r="F15" s="17"/>
      <c r="G15" s="18"/>
      <c r="H15" s="16"/>
    </row>
    <row r="16" customFormat="false" ht="15" hidden="false" customHeight="true" outlineLevel="0" collapsed="false">
      <c r="A16" s="15" t="n">
        <v>11</v>
      </c>
      <c r="B16" s="16"/>
      <c r="C16" s="16"/>
      <c r="D16" s="16"/>
      <c r="E16" s="17"/>
      <c r="F16" s="17"/>
      <c r="G16" s="18"/>
      <c r="H16" s="16"/>
    </row>
    <row r="17" customFormat="false" ht="15" hidden="false" customHeight="true" outlineLevel="0" collapsed="false">
      <c r="A17" s="15" t="n">
        <v>12</v>
      </c>
      <c r="B17" s="16"/>
      <c r="C17" s="16"/>
      <c r="D17" s="16"/>
      <c r="E17" s="17"/>
      <c r="F17" s="17"/>
      <c r="G17" s="18"/>
      <c r="H17" s="16"/>
    </row>
    <row r="18" customFormat="false" ht="15" hidden="false" customHeight="true" outlineLevel="0" collapsed="false">
      <c r="A18" s="15" t="n">
        <v>13</v>
      </c>
      <c r="B18" s="16"/>
      <c r="C18" s="16"/>
      <c r="D18" s="16"/>
      <c r="E18" s="17"/>
      <c r="F18" s="17"/>
      <c r="G18" s="18"/>
      <c r="H18" s="16"/>
    </row>
    <row r="19" customFormat="false" ht="15" hidden="false" customHeight="true" outlineLevel="0" collapsed="false">
      <c r="A19" s="15" t="n">
        <v>14</v>
      </c>
      <c r="B19" s="16"/>
      <c r="C19" s="16"/>
      <c r="D19" s="16"/>
      <c r="E19" s="17"/>
      <c r="F19" s="17"/>
      <c r="G19" s="18"/>
      <c r="H19" s="16"/>
    </row>
    <row r="20" customFormat="false" ht="15" hidden="false" customHeight="true" outlineLevel="0" collapsed="false">
      <c r="A20" s="15" t="n">
        <v>15</v>
      </c>
      <c r="B20" s="16"/>
      <c r="C20" s="16"/>
      <c r="D20" s="16"/>
      <c r="E20" s="17"/>
      <c r="F20" s="17"/>
      <c r="G20" s="18"/>
      <c r="H20" s="16"/>
    </row>
    <row r="21" customFormat="false" ht="15" hidden="false" customHeight="true" outlineLevel="0" collapsed="false">
      <c r="A21" s="15" t="n">
        <v>16</v>
      </c>
      <c r="B21" s="16"/>
      <c r="C21" s="16"/>
      <c r="D21" s="16"/>
      <c r="E21" s="17"/>
      <c r="F21" s="17"/>
      <c r="G21" s="18"/>
      <c r="H21" s="16"/>
    </row>
    <row r="22" customFormat="false" ht="15" hidden="false" customHeight="true" outlineLevel="0" collapsed="false">
      <c r="A22" s="15" t="n">
        <v>17</v>
      </c>
      <c r="B22" s="16"/>
      <c r="C22" s="16"/>
      <c r="D22" s="16"/>
      <c r="E22" s="17"/>
      <c r="F22" s="17"/>
      <c r="G22" s="18"/>
      <c r="H22" s="16"/>
    </row>
    <row r="23" customFormat="false" ht="15" hidden="false" customHeight="true" outlineLevel="0" collapsed="false">
      <c r="A23" s="15" t="n">
        <v>18</v>
      </c>
      <c r="B23" s="16"/>
      <c r="C23" s="16"/>
      <c r="D23" s="16"/>
      <c r="E23" s="17"/>
      <c r="F23" s="17"/>
      <c r="G23" s="18"/>
      <c r="H23" s="16"/>
    </row>
    <row r="24" customFormat="false" ht="15" hidden="false" customHeight="true" outlineLevel="0" collapsed="false">
      <c r="A24" s="15" t="n">
        <v>19</v>
      </c>
      <c r="B24" s="16"/>
      <c r="C24" s="16"/>
      <c r="D24" s="16"/>
      <c r="E24" s="17"/>
      <c r="F24" s="17"/>
      <c r="G24" s="18"/>
      <c r="H24" s="16"/>
    </row>
    <row r="25" customFormat="false" ht="15" hidden="false" customHeight="true" outlineLevel="0" collapsed="false">
      <c r="A25" s="15" t="n">
        <v>20</v>
      </c>
      <c r="B25" s="16"/>
      <c r="C25" s="16"/>
      <c r="D25" s="16"/>
      <c r="E25" s="17"/>
      <c r="F25" s="17"/>
      <c r="G25" s="18"/>
      <c r="H25" s="16"/>
    </row>
    <row r="26" customFormat="false" ht="15" hidden="false" customHeight="true" outlineLevel="0" collapsed="false">
      <c r="A26" s="15" t="n">
        <v>21</v>
      </c>
      <c r="B26" s="16"/>
      <c r="C26" s="16"/>
      <c r="D26" s="16"/>
      <c r="E26" s="17"/>
      <c r="F26" s="17"/>
      <c r="G26" s="18"/>
      <c r="H26" s="16"/>
    </row>
    <row r="27" customFormat="false" ht="15" hidden="false" customHeight="true" outlineLevel="0" collapsed="false">
      <c r="A27" s="15" t="n">
        <v>22</v>
      </c>
      <c r="B27" s="16"/>
      <c r="C27" s="16"/>
      <c r="D27" s="16"/>
      <c r="E27" s="17"/>
      <c r="F27" s="17"/>
      <c r="G27" s="18"/>
      <c r="H27" s="16"/>
    </row>
    <row r="28" customFormat="false" ht="15" hidden="false" customHeight="true" outlineLevel="0" collapsed="false">
      <c r="A28" s="15" t="n">
        <v>23</v>
      </c>
      <c r="B28" s="16"/>
      <c r="C28" s="16"/>
      <c r="D28" s="16"/>
      <c r="E28" s="17"/>
      <c r="F28" s="17"/>
      <c r="G28" s="18"/>
      <c r="H28" s="16"/>
    </row>
    <row r="29" customFormat="false" ht="15" hidden="false" customHeight="true" outlineLevel="0" collapsed="false">
      <c r="A29" s="15" t="n">
        <v>24</v>
      </c>
      <c r="B29" s="16"/>
      <c r="C29" s="16"/>
      <c r="D29" s="16"/>
      <c r="E29" s="17"/>
      <c r="F29" s="17"/>
      <c r="G29" s="18"/>
      <c r="H29" s="16"/>
    </row>
    <row r="30" customFormat="false" ht="15" hidden="false" customHeight="true" outlineLevel="0" collapsed="false">
      <c r="A30" s="15" t="n">
        <v>25</v>
      </c>
      <c r="B30" s="16"/>
      <c r="C30" s="16"/>
      <c r="D30" s="16"/>
      <c r="E30" s="17"/>
      <c r="F30" s="17"/>
      <c r="G30" s="18"/>
      <c r="H30" s="16"/>
    </row>
    <row r="31" customFormat="false" ht="15" hidden="false" customHeight="true" outlineLevel="0" collapsed="false">
      <c r="A31" s="15" t="n">
        <v>26</v>
      </c>
      <c r="B31" s="16"/>
      <c r="C31" s="16"/>
      <c r="D31" s="16"/>
      <c r="E31" s="17"/>
      <c r="F31" s="17"/>
      <c r="G31" s="18"/>
      <c r="H31" s="16"/>
    </row>
    <row r="32" customFormat="false" ht="15" hidden="false" customHeight="true" outlineLevel="0" collapsed="false">
      <c r="A32" s="15" t="n">
        <v>27</v>
      </c>
      <c r="B32" s="16"/>
      <c r="C32" s="16"/>
      <c r="D32" s="16"/>
      <c r="E32" s="17"/>
      <c r="F32" s="17"/>
      <c r="G32" s="18"/>
      <c r="H32" s="16"/>
    </row>
    <row r="33" customFormat="false" ht="15" hidden="false" customHeight="true" outlineLevel="0" collapsed="false">
      <c r="A33" s="15" t="n">
        <v>28</v>
      </c>
      <c r="B33" s="16"/>
      <c r="C33" s="16"/>
      <c r="D33" s="16"/>
      <c r="E33" s="17"/>
      <c r="F33" s="17"/>
      <c r="G33" s="18"/>
      <c r="H33" s="16"/>
    </row>
    <row r="34" customFormat="false" ht="15" hidden="false" customHeight="true" outlineLevel="0" collapsed="false">
      <c r="A34" s="15" t="n">
        <v>29</v>
      </c>
      <c r="B34" s="16"/>
      <c r="C34" s="16"/>
      <c r="D34" s="16"/>
      <c r="E34" s="17"/>
      <c r="F34" s="17"/>
      <c r="G34" s="18"/>
      <c r="H34" s="16"/>
    </row>
    <row r="35" customFormat="false" ht="15" hidden="false" customHeight="true" outlineLevel="0" collapsed="false">
      <c r="A35" s="15" t="n">
        <v>30</v>
      </c>
      <c r="B35" s="16"/>
      <c r="C35" s="16"/>
      <c r="D35" s="16"/>
      <c r="E35" s="17"/>
      <c r="F35" s="17"/>
      <c r="G35" s="18"/>
      <c r="H35" s="16"/>
    </row>
    <row r="37" customFormat="false" ht="15" hidden="false" customHeight="true" outlineLevel="0" collapsed="false">
      <c r="A37" s="19" t="s">
        <v>87</v>
      </c>
      <c r="B37" s="19"/>
      <c r="C37" s="19"/>
      <c r="D37" s="19"/>
      <c r="E37" s="19"/>
      <c r="F37" s="19"/>
      <c r="G37" s="19"/>
      <c r="H37" s="19"/>
    </row>
    <row r="38" customFormat="false" ht="30" hidden="false" customHeight="true" outlineLevel="0" collapsed="false">
      <c r="A38" s="20" t="s">
        <v>88</v>
      </c>
      <c r="B38" s="21" t="s">
        <v>89</v>
      </c>
      <c r="C38" s="21"/>
      <c r="D38" s="21"/>
      <c r="E38" s="21"/>
      <c r="F38" s="21"/>
      <c r="G38" s="21"/>
      <c r="H38" s="21"/>
    </row>
    <row r="39" customFormat="false" ht="30" hidden="false" customHeight="true" outlineLevel="0" collapsed="false">
      <c r="A39" s="20" t="s">
        <v>90</v>
      </c>
      <c r="B39" s="21" t="s">
        <v>91</v>
      </c>
      <c r="C39" s="21"/>
      <c r="D39" s="21"/>
      <c r="E39" s="21"/>
      <c r="F39" s="21"/>
      <c r="G39" s="21"/>
      <c r="H39" s="21"/>
    </row>
    <row r="40" customFormat="false" ht="30" hidden="false" customHeight="true" outlineLevel="0" collapsed="false">
      <c r="A40" s="20" t="s">
        <v>92</v>
      </c>
      <c r="B40" s="21" t="s">
        <v>93</v>
      </c>
      <c r="C40" s="21"/>
      <c r="D40" s="21"/>
      <c r="E40" s="21"/>
      <c r="F40" s="21"/>
      <c r="G40" s="21"/>
      <c r="H40" s="21"/>
    </row>
    <row r="41" customFormat="false" ht="30" hidden="false" customHeight="true" outlineLevel="0" collapsed="false">
      <c r="A41" s="20" t="s">
        <v>94</v>
      </c>
      <c r="B41" s="21" t="s">
        <v>95</v>
      </c>
      <c r="C41" s="21"/>
      <c r="D41" s="21"/>
      <c r="E41" s="21"/>
      <c r="F41" s="21"/>
      <c r="G41" s="21"/>
      <c r="H41" s="21"/>
    </row>
    <row r="42" customFormat="false" ht="30" hidden="false" customHeight="true" outlineLevel="0" collapsed="false">
      <c r="A42" s="20" t="s">
        <v>96</v>
      </c>
      <c r="B42" s="21" t="s">
        <v>97</v>
      </c>
      <c r="C42" s="21"/>
      <c r="D42" s="21"/>
      <c r="E42" s="21"/>
      <c r="F42" s="21"/>
      <c r="G42" s="21"/>
      <c r="H42" s="21"/>
    </row>
  </sheetData>
  <mergeCells count="8">
    <mergeCell ref="A1:H1"/>
    <mergeCell ref="A3:H3"/>
    <mergeCell ref="A37:H37"/>
    <mergeCell ref="B38:H38"/>
    <mergeCell ref="B39:H39"/>
    <mergeCell ref="B40:H40"/>
    <mergeCell ref="B41:H41"/>
    <mergeCell ref="B42:H42"/>
  </mergeCells>
  <dataValidations count="5">
    <dataValidation allowBlank="true" error="Pick from the dropdown list (also visible on CATEGORY_PRIORS)." errorStyle="stop" errorTitle="Invalid category" operator="between" prompt="Pick a category from the dropdown. Drives the default elasticity when no sales data is present." promptTitle="Category" showDropDown="false" showErrorMessage="true" showInputMessage="true" sqref="C6:C35" type="list">
      <formula1>CATEGORY_PRIORS!$A$6:$A$14</formula1>
      <formula2>0</formula2>
    </dataValidation>
    <dataValidation allowBlank="true" error="Pick from the dropdown list (also visible on PSYCHOLOGY_RULES)." errorStyle="stop" errorTitle="Invalid role" operator="between" prompt="Strategic role of this item. Drives the cap on how much the model can move it.&#10;• Traffic Driver: protect entry price.&#10;• Core: standard high-volume item.&#10;• Profit Driver / Premium Anchor / Signature: can carry more raise.&#10;• Complement: side/add-on." promptTitle="Menu role" showDropDown="false" showErrorMessage="true" showInputMessage="true" sqref="D6:D35" type="list">
      <formula1>PSYCHOLOGY_RULES!$A$7:$A$13</formula1>
      <formula2>0</formula2>
    </dataValidation>
    <dataValidation allowBlank="true" error="Cost must be a non-negative number." errorStyle="stop" errorTitle="Invalid cost" operator="greaterThanOrEqual" prompt="Variable cost per unit (ingredients, packaging, direct labour). Exclude rent/utilities/salaries." promptTitle="Cost per unit" showDropDown="false" showErrorMessage="true" showInputMessage="true" sqref="E6:E35" type="decimal">
      <formula1>0</formula1>
      <formula2>0</formula2>
    </dataValidation>
    <dataValidation allowBlank="true" error="Price must be a positive number." errorStyle="stop" errorTitle="Invalid price" operator="greaterThan" prompt="Current menu price (what the customer pays, net of platform commissions)." promptTitle="Current price" showDropDown="false" showErrorMessage="true" showInputMessage="true" sqref="F6:F35" type="decimal">
      <formula1>0</formula1>
      <formula2>0</formula2>
    </dataValidation>
    <dataValidation allowBlank="true" errorStyle="stop" operator="greaterThanOrEqual" prompt="Units sold last month (or representative month). Avoid weeks with closures/holidays/major promotions." promptTitle="Monthly units" showDropDown="false" showErrorMessage="false" showInputMessage="true" sqref="G6:G35" type="whol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L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8"/>
    <col collapsed="false" customWidth="true" hidden="false" outlineLevel="0" max="3" min="3" style="1" width="13"/>
    <col collapsed="false" customWidth="true" hidden="false" outlineLevel="0" max="10" min="4" style="1" width="12"/>
    <col collapsed="false" customWidth="true" hidden="false" outlineLevel="0" max="11" min="11" style="1" width="14"/>
    <col collapsed="false" customWidth="true" hidden="false" outlineLevel="0" max="12" min="12" style="1" width="35"/>
  </cols>
  <sheetData>
    <row r="1" customFormat="false" ht="21.75" hidden="false" customHeight="true" outlineLevel="0" collapsed="false">
      <c r="A1" s="22" t="s">
        <v>98</v>
      </c>
    </row>
    <row r="3" customFormat="false" ht="26.25" hidden="false" customHeight="true" outlineLevel="0" collapsed="false">
      <c r="A3" s="23" t="s">
        <v>99</v>
      </c>
      <c r="B3" s="23"/>
      <c r="C3" s="23"/>
      <c r="D3" s="23"/>
      <c r="E3" s="23"/>
      <c r="F3" s="23"/>
      <c r="G3" s="23"/>
      <c r="H3" s="23"/>
      <c r="I3" s="23"/>
      <c r="J3" s="23"/>
      <c r="K3" s="23"/>
      <c r="L3" s="23"/>
    </row>
    <row r="5" customFormat="false" ht="15" hidden="false" customHeight="true" outlineLevel="0" collapsed="false">
      <c r="A5" s="24" t="s">
        <v>100</v>
      </c>
      <c r="B5" s="25" t="n">
        <v>0.2</v>
      </c>
      <c r="C5" s="26" t="s">
        <v>101</v>
      </c>
    </row>
    <row r="6" customFormat="false" ht="15" hidden="false" customHeight="true" outlineLevel="0" collapsed="false">
      <c r="A6" s="24" t="s">
        <v>102</v>
      </c>
      <c r="B6" s="25" t="n">
        <v>0.2</v>
      </c>
      <c r="C6" s="26" t="s">
        <v>103</v>
      </c>
    </row>
    <row r="8" customFormat="false" ht="15" hidden="false" customHeight="true" outlineLevel="0" collapsed="false">
      <c r="A8" s="27" t="s">
        <v>59</v>
      </c>
      <c r="B8" s="27" t="s">
        <v>104</v>
      </c>
      <c r="C8" s="27" t="s">
        <v>105</v>
      </c>
      <c r="D8" s="27" t="s">
        <v>106</v>
      </c>
      <c r="E8" s="27" t="s">
        <v>107</v>
      </c>
      <c r="F8" s="27" t="s">
        <v>108</v>
      </c>
      <c r="G8" s="27" t="s">
        <v>109</v>
      </c>
      <c r="H8" s="27" t="s">
        <v>110</v>
      </c>
      <c r="I8" s="27" t="s">
        <v>111</v>
      </c>
      <c r="J8" s="27" t="s">
        <v>112</v>
      </c>
      <c r="K8" s="27" t="s">
        <v>113</v>
      </c>
      <c r="L8" s="27" t="s">
        <v>114</v>
      </c>
    </row>
    <row r="9" customFormat="false" ht="15" hidden="false" customHeight="true" outlineLevel="0" collapsed="false">
      <c r="A9" s="1" t="n">
        <v>1</v>
      </c>
      <c r="B9" s="1" t="str">
        <f aca="false">IF(OWNER_INPUTS!B6="","",OWNER_INPUTS!B6)</f>
        <v>Flat White</v>
      </c>
      <c r="C9" s="28" t="n">
        <f aca="false">IF($B9="","",OWNER_INPUTS!F6)</f>
        <v>4.2</v>
      </c>
      <c r="D9" s="29"/>
      <c r="E9" s="29"/>
      <c r="F9" s="29"/>
      <c r="G9" s="30" t="str">
        <f aca="false">IF($B9="","",IFERROR(AVERAGE($D9:$F9),""))</f>
        <v/>
      </c>
      <c r="H9" s="30" t="str">
        <f aca="false">IF($B9="","",IFERROR(IF(COUNT($D9:$F9)&gt;0,MIN($D9:$F9),""),""))</f>
        <v/>
      </c>
      <c r="I9" s="30" t="str">
        <f aca="false">IF($B9="","",IFERROR(IF(COUNT($D9:$F9)&gt;0,MAX($D9:$F9),""),""))</f>
        <v/>
      </c>
      <c r="J9" s="28" t="n">
        <f aca="false">IF($B9="","",OPTIMIZER!T6)</f>
        <v>4.3</v>
      </c>
      <c r="K9" s="1" t="str">
        <f aca="false">IF($B9="","",IF(OR($G9="",NOT(ISNUMBER($G9))),"No comp data",IF($J9&gt;$I9*(1+$B$5),"Above market",IF($J9&lt;$H9*(1-$B$6),"Below market","Within market"))))</f>
        <v>No comp data</v>
      </c>
      <c r="L9" s="1" t="str">
        <f aca="false">IF($B9="","",IF($K9="Above market","⚠ Above local market by &gt;"&amp;TEXT($B$5,"0%"),IF($K9="Below market","⚠ Below local market by &gt;"&amp;TEXT($B$6,"0%"),"")))</f>
        <v/>
      </c>
    </row>
    <row r="10" customFormat="false" ht="15" hidden="false" customHeight="true" outlineLevel="0" collapsed="false">
      <c r="A10" s="1" t="n">
        <v>2</v>
      </c>
      <c r="B10" s="1" t="str">
        <f aca="false">IF(OWNER_INPUTS!B7="","",OWNER_INPUTS!B7)</f>
        <v>Matcha Latte</v>
      </c>
      <c r="C10" s="28" t="n">
        <f aca="false">IF($B10="","",OWNER_INPUTS!F7)</f>
        <v>4.8</v>
      </c>
      <c r="D10" s="29"/>
      <c r="E10" s="29"/>
      <c r="F10" s="29"/>
      <c r="G10" s="30" t="str">
        <f aca="false">IF($B10="","",IFERROR(AVERAGE($D10:$F10),""))</f>
        <v/>
      </c>
      <c r="H10" s="30" t="str">
        <f aca="false">IF($B10="","",IFERROR(IF(COUNT($D10:$F10)&gt;0,MIN($D10:$F10),""),""))</f>
        <v/>
      </c>
      <c r="I10" s="30" t="str">
        <f aca="false">IF($B10="","",IFERROR(IF(COUNT($D10:$F10)&gt;0,MAX($D10:$F10),""),""))</f>
        <v/>
      </c>
      <c r="J10" s="28" t="n">
        <f aca="false">IF($B10="","",OPTIMIZER!T7)</f>
        <v>4.9</v>
      </c>
      <c r="K10" s="1" t="str">
        <f aca="false">IF($B10="","",IF(OR($G10="",NOT(ISNUMBER($G10))),"No comp data",IF($J10&gt;$I10*(1+$B$5),"Above market",IF($J10&lt;$H10*(1-$B$6),"Below market","Within market"))))</f>
        <v>No comp data</v>
      </c>
      <c r="L10" s="1" t="str">
        <f aca="false">IF($B10="","",IF($K10="Above market","⚠ Above local market by &gt;"&amp;TEXT($B$5,"0%"),IF($K10="Below market","⚠ Below local market by &gt;"&amp;TEXT($B$6,"0%"),"")))</f>
        <v/>
      </c>
    </row>
    <row r="11" customFormat="false" ht="15" hidden="false" customHeight="true" outlineLevel="0" collapsed="false">
      <c r="A11" s="1" t="n">
        <v>3</v>
      </c>
      <c r="B11" s="1" t="str">
        <f aca="false">IF(OWNER_INPUTS!B8="","",OWNER_INPUTS!B8)</f>
        <v>Eggs Benedict</v>
      </c>
      <c r="C11" s="28" t="n">
        <f aca="false">IF($B11="","",OWNER_INPUTS!F8)</f>
        <v>9.8</v>
      </c>
      <c r="D11" s="29"/>
      <c r="E11" s="29"/>
      <c r="F11" s="29"/>
      <c r="G11" s="30" t="str">
        <f aca="false">IF($B11="","",IFERROR(AVERAGE($D11:$F11),""))</f>
        <v/>
      </c>
      <c r="H11" s="30" t="str">
        <f aca="false">IF($B11="","",IFERROR(IF(COUNT($D11:$F11)&gt;0,MIN($D11:$F11),""),""))</f>
        <v/>
      </c>
      <c r="I11" s="30" t="str">
        <f aca="false">IF($B11="","",IFERROR(IF(COUNT($D11:$F11)&gt;0,MAX($D11:$F11),""),""))</f>
        <v/>
      </c>
      <c r="J11" s="28" t="n">
        <f aca="false">IF($B11="","",OPTIMIZER!T8)</f>
        <v>9.9</v>
      </c>
      <c r="K11" s="1" t="str">
        <f aca="false">IF($B11="","",IF(OR($G11="",NOT(ISNUMBER($G11))),"No comp data",IF($J11&gt;$I11*(1+$B$5),"Above market",IF($J11&lt;$H11*(1-$B$6),"Below market","Within market"))))</f>
        <v>No comp data</v>
      </c>
      <c r="L11" s="1" t="str">
        <f aca="false">IF($B11="","",IF($K11="Above market","⚠ Above local market by &gt;"&amp;TEXT($B$5,"0%"),IF($K11="Below market","⚠ Below local market by &gt;"&amp;TEXT($B$6,"0%"),"")))</f>
        <v/>
      </c>
    </row>
    <row r="12" customFormat="false" ht="15" hidden="false" customHeight="true" outlineLevel="0" collapsed="false">
      <c r="A12" s="1" t="n">
        <v>4</v>
      </c>
      <c r="B12" s="1" t="str">
        <f aca="false">IF(OWNER_INPUTS!B9="","",OWNER_INPUTS!B9)</f>
        <v>Avocado Toast</v>
      </c>
      <c r="C12" s="28" t="n">
        <f aca="false">IF($B12="","",OWNER_INPUTS!F9)</f>
        <v>10.5</v>
      </c>
      <c r="D12" s="29"/>
      <c r="E12" s="29"/>
      <c r="F12" s="29"/>
      <c r="G12" s="30" t="str">
        <f aca="false">IF($B12="","",IFERROR(AVERAGE($D12:$F12),""))</f>
        <v/>
      </c>
      <c r="H12" s="30" t="str">
        <f aca="false">IF($B12="","",IFERROR(IF(COUNT($D12:$F12)&gt;0,MIN($D12:$F12),""),""))</f>
        <v/>
      </c>
      <c r="I12" s="30" t="str">
        <f aca="false">IF($B12="","",IFERROR(IF(COUNT($D12:$F12)&gt;0,MAX($D12:$F12),""),""))</f>
        <v/>
      </c>
      <c r="J12" s="28" t="n">
        <f aca="false">IF($B12="","",OPTIMIZER!T9)</f>
        <v>10.7</v>
      </c>
      <c r="K12" s="1" t="str">
        <f aca="false">IF($B12="","",IF(OR($G12="",NOT(ISNUMBER($G12))),"No comp data",IF($J12&gt;$I12*(1+$B$5),"Above market",IF($J12&lt;$H12*(1-$B$6),"Below market","Within market"))))</f>
        <v>No comp data</v>
      </c>
      <c r="L12" s="1" t="str">
        <f aca="false">IF($B12="","",IF($K12="Above market","⚠ Above local market by &gt;"&amp;TEXT($B$5,"0%"),IF($K12="Below market","⚠ Below local market by &gt;"&amp;TEXT($B$6,"0%"),"")))</f>
        <v/>
      </c>
    </row>
    <row r="13" customFormat="false" ht="15" hidden="false" customHeight="true" outlineLevel="0" collapsed="false">
      <c r="A13" s="1" t="n">
        <v>5</v>
      </c>
      <c r="B13" s="1" t="str">
        <f aca="false">IF(OWNER_INPUTS!B10="","",OWNER_INPUTS!B10)</f>
        <v>Pancakes</v>
      </c>
      <c r="C13" s="28" t="n">
        <f aca="false">IF($B13="","",OWNER_INPUTS!F10)</f>
        <v>8.8</v>
      </c>
      <c r="D13" s="29"/>
      <c r="E13" s="29"/>
      <c r="F13" s="29"/>
      <c r="G13" s="30" t="str">
        <f aca="false">IF($B13="","",IFERROR(AVERAGE($D13:$F13),""))</f>
        <v/>
      </c>
      <c r="H13" s="30" t="str">
        <f aca="false">IF($B13="","",IFERROR(IF(COUNT($D13:$F13)&gt;0,MIN($D13:$F13),""),""))</f>
        <v/>
      </c>
      <c r="I13" s="30" t="str">
        <f aca="false">IF($B13="","",IFERROR(IF(COUNT($D13:$F13)&gt;0,MAX($D13:$F13),""),""))</f>
        <v/>
      </c>
      <c r="J13" s="28" t="n">
        <f aca="false">IF($B13="","",OPTIMIZER!T10)</f>
        <v>9.2</v>
      </c>
      <c r="K13" s="1" t="str">
        <f aca="false">IF($B13="","",IF(OR($G13="",NOT(ISNUMBER($G13))),"No comp data",IF($J13&gt;$I13*(1+$B$5),"Above market",IF($J13&lt;$H13*(1-$B$6),"Below market","Within market"))))</f>
        <v>No comp data</v>
      </c>
      <c r="L13" s="1" t="str">
        <f aca="false">IF($B13="","",IF($K13="Above market","⚠ Above local market by &gt;"&amp;TEXT($B$5,"0%"),IF($K13="Below market","⚠ Below local market by &gt;"&amp;TEXT($B$6,"0%"),"")))</f>
        <v/>
      </c>
    </row>
    <row r="14" customFormat="false" ht="15" hidden="false" customHeight="true" outlineLevel="0" collapsed="false">
      <c r="A14" s="1" t="n">
        <v>6</v>
      </c>
      <c r="B14" s="1" t="str">
        <f aca="false">IF(OWNER_INPUTS!B11="","",OWNER_INPUTS!B11)</f>
        <v>Cheesecake</v>
      </c>
      <c r="C14" s="28" t="n">
        <f aca="false">IF($B14="","",OWNER_INPUTS!F11)</f>
        <v>5.8</v>
      </c>
      <c r="D14" s="29"/>
      <c r="E14" s="29"/>
      <c r="F14" s="29"/>
      <c r="G14" s="30" t="str">
        <f aca="false">IF($B14="","",IFERROR(AVERAGE($D14:$F14),""))</f>
        <v/>
      </c>
      <c r="H14" s="30" t="str">
        <f aca="false">IF($B14="","",IFERROR(IF(COUNT($D14:$F14)&gt;0,MIN($D14:$F14),""),""))</f>
        <v/>
      </c>
      <c r="I14" s="30" t="str">
        <f aca="false">IF($B14="","",IFERROR(IF(COUNT($D14:$F14)&gt;0,MAX($D14:$F14),""),""))</f>
        <v/>
      </c>
      <c r="J14" s="28" t="n">
        <f aca="false">IF($B14="","",OPTIMIZER!T11)</f>
        <v>6.1</v>
      </c>
      <c r="K14" s="1" t="str">
        <f aca="false">IF($B14="","",IF(OR($G14="",NOT(ISNUMBER($G14))),"No comp data",IF($J14&gt;$I14*(1+$B$5),"Above market",IF($J14&lt;$H14*(1-$B$6),"Below market","Within market"))))</f>
        <v>No comp data</v>
      </c>
      <c r="L14" s="1" t="str">
        <f aca="false">IF($B14="","",IF($K14="Above market","⚠ Above local market by &gt;"&amp;TEXT($B$5,"0%"),IF($K14="Below market","⚠ Below local market by &gt;"&amp;TEXT($B$6,"0%"),"")))</f>
        <v/>
      </c>
    </row>
    <row r="15" customFormat="false" ht="15" hidden="false" customHeight="true" outlineLevel="0" collapsed="false">
      <c r="A15" s="1" t="n">
        <v>7</v>
      </c>
      <c r="B15" s="1" t="str">
        <f aca="false">IF(OWNER_INPUTS!B12="","",OWNER_INPUTS!B12)</f>
        <v/>
      </c>
      <c r="C15" s="1" t="str">
        <f aca="false">IF($B15="","",OWNER_INPUTS!F12)</f>
        <v/>
      </c>
      <c r="D15" s="29"/>
      <c r="E15" s="29"/>
      <c r="F15" s="29"/>
      <c r="G15" s="30" t="str">
        <f aca="false">IF($B15="","",IFERROR(AVERAGE($D15:$F15),""))</f>
        <v/>
      </c>
      <c r="H15" s="30" t="str">
        <f aca="false">IF($B15="","",IFERROR(IF(COUNT($D15:$F15)&gt;0,MIN($D15:$F15),""),""))</f>
        <v/>
      </c>
      <c r="I15" s="30" t="str">
        <f aca="false">IF($B15="","",IFERROR(IF(COUNT($D15:$F15)&gt;0,MAX($D15:$F15),""),""))</f>
        <v/>
      </c>
      <c r="J15" s="1" t="str">
        <f aca="false">IF($B15="","",OPTIMIZER!T12)</f>
        <v/>
      </c>
      <c r="K15" s="1" t="str">
        <f aca="false">IF($B15="","",IF(OR($G15="",NOT(ISNUMBER($G15))),"No comp data",IF($J15&gt;$I15*(1+$B$5),"Above market",IF($J15&lt;$H15*(1-$B$6),"Below market","Within market"))))</f>
        <v/>
      </c>
      <c r="L15" s="1" t="str">
        <f aca="false">IF($B15="","",IF($K15="Above market","⚠ Above local market by &gt;"&amp;TEXT($B$5,"0%"),IF($K15="Below market","⚠ Below local market by &gt;"&amp;TEXT($B$6,"0%"),"")))</f>
        <v/>
      </c>
    </row>
    <row r="16" customFormat="false" ht="15" hidden="false" customHeight="true" outlineLevel="0" collapsed="false">
      <c r="A16" s="1" t="n">
        <v>8</v>
      </c>
      <c r="B16" s="1" t="str">
        <f aca="false">IF(OWNER_INPUTS!B13="","",OWNER_INPUTS!B13)</f>
        <v/>
      </c>
      <c r="C16" s="1" t="str">
        <f aca="false">IF($B16="","",OWNER_INPUTS!F13)</f>
        <v/>
      </c>
      <c r="D16" s="29"/>
      <c r="E16" s="29"/>
      <c r="F16" s="29"/>
      <c r="G16" s="30" t="str">
        <f aca="false">IF($B16="","",IFERROR(AVERAGE($D16:$F16),""))</f>
        <v/>
      </c>
      <c r="H16" s="30" t="str">
        <f aca="false">IF($B16="","",IFERROR(IF(COUNT($D16:$F16)&gt;0,MIN($D16:$F16),""),""))</f>
        <v/>
      </c>
      <c r="I16" s="30" t="str">
        <f aca="false">IF($B16="","",IFERROR(IF(COUNT($D16:$F16)&gt;0,MAX($D16:$F16),""),""))</f>
        <v/>
      </c>
      <c r="J16" s="1" t="str">
        <f aca="false">IF($B16="","",OPTIMIZER!T13)</f>
        <v/>
      </c>
      <c r="K16" s="1" t="str">
        <f aca="false">IF($B16="","",IF(OR($G16="",NOT(ISNUMBER($G16))),"No comp data",IF($J16&gt;$I16*(1+$B$5),"Above market",IF($J16&lt;$H16*(1-$B$6),"Below market","Within market"))))</f>
        <v/>
      </c>
      <c r="L16" s="1" t="str">
        <f aca="false">IF($B16="","",IF($K16="Above market","⚠ Above local market by &gt;"&amp;TEXT($B$5,"0%"),IF($K16="Below market","⚠ Below local market by &gt;"&amp;TEXT($B$6,"0%"),"")))</f>
        <v/>
      </c>
    </row>
    <row r="17" customFormat="false" ht="15" hidden="false" customHeight="true" outlineLevel="0" collapsed="false">
      <c r="A17" s="1" t="n">
        <v>9</v>
      </c>
      <c r="B17" s="1" t="str">
        <f aca="false">IF(OWNER_INPUTS!B14="","",OWNER_INPUTS!B14)</f>
        <v/>
      </c>
      <c r="C17" s="1" t="str">
        <f aca="false">IF($B17="","",OWNER_INPUTS!F14)</f>
        <v/>
      </c>
      <c r="D17" s="29"/>
      <c r="E17" s="29"/>
      <c r="F17" s="29"/>
      <c r="G17" s="30" t="str">
        <f aca="false">IF($B17="","",IFERROR(AVERAGE($D17:$F17),""))</f>
        <v/>
      </c>
      <c r="H17" s="30" t="str">
        <f aca="false">IF($B17="","",IFERROR(IF(COUNT($D17:$F17)&gt;0,MIN($D17:$F17),""),""))</f>
        <v/>
      </c>
      <c r="I17" s="30" t="str">
        <f aca="false">IF($B17="","",IFERROR(IF(COUNT($D17:$F17)&gt;0,MAX($D17:$F17),""),""))</f>
        <v/>
      </c>
      <c r="J17" s="1" t="str">
        <f aca="false">IF($B17="","",OPTIMIZER!T14)</f>
        <v/>
      </c>
      <c r="K17" s="1" t="str">
        <f aca="false">IF($B17="","",IF(OR($G17="",NOT(ISNUMBER($G17))),"No comp data",IF($J17&gt;$I17*(1+$B$5),"Above market",IF($J17&lt;$H17*(1-$B$6),"Below market","Within market"))))</f>
        <v/>
      </c>
      <c r="L17" s="1" t="str">
        <f aca="false">IF($B17="","",IF($K17="Above market","⚠ Above local market by &gt;"&amp;TEXT($B$5,"0%"),IF($K17="Below market","⚠ Below local market by &gt;"&amp;TEXT($B$6,"0%"),"")))</f>
        <v/>
      </c>
    </row>
    <row r="18" customFormat="false" ht="15" hidden="false" customHeight="true" outlineLevel="0" collapsed="false">
      <c r="A18" s="1" t="n">
        <v>10</v>
      </c>
      <c r="B18" s="1" t="str">
        <f aca="false">IF(OWNER_INPUTS!B15="","",OWNER_INPUTS!B15)</f>
        <v/>
      </c>
      <c r="C18" s="1" t="str">
        <f aca="false">IF($B18="","",OWNER_INPUTS!F15)</f>
        <v/>
      </c>
      <c r="D18" s="29"/>
      <c r="E18" s="29"/>
      <c r="F18" s="29"/>
      <c r="G18" s="30" t="str">
        <f aca="false">IF($B18="","",IFERROR(AVERAGE($D18:$F18),""))</f>
        <v/>
      </c>
      <c r="H18" s="30" t="str">
        <f aca="false">IF($B18="","",IFERROR(IF(COUNT($D18:$F18)&gt;0,MIN($D18:$F18),""),""))</f>
        <v/>
      </c>
      <c r="I18" s="30" t="str">
        <f aca="false">IF($B18="","",IFERROR(IF(COUNT($D18:$F18)&gt;0,MAX($D18:$F18),""),""))</f>
        <v/>
      </c>
      <c r="J18" s="1" t="str">
        <f aca="false">IF($B18="","",OPTIMIZER!T15)</f>
        <v/>
      </c>
      <c r="K18" s="1" t="str">
        <f aca="false">IF($B18="","",IF(OR($G18="",NOT(ISNUMBER($G18))),"No comp data",IF($J18&gt;$I18*(1+$B$5),"Above market",IF($J18&lt;$H18*(1-$B$6),"Below market","Within market"))))</f>
        <v/>
      </c>
      <c r="L18" s="1" t="str">
        <f aca="false">IF($B18="","",IF($K18="Above market","⚠ Above local market by &gt;"&amp;TEXT($B$5,"0%"),IF($K18="Below market","⚠ Below local market by &gt;"&amp;TEXT($B$6,"0%"),"")))</f>
        <v/>
      </c>
    </row>
    <row r="19" customFormat="false" ht="15" hidden="false" customHeight="true" outlineLevel="0" collapsed="false">
      <c r="A19" s="1" t="n">
        <v>11</v>
      </c>
      <c r="B19" s="1" t="str">
        <f aca="false">IF(OWNER_INPUTS!B16="","",OWNER_INPUTS!B16)</f>
        <v/>
      </c>
      <c r="C19" s="1" t="str">
        <f aca="false">IF($B19="","",OWNER_INPUTS!F16)</f>
        <v/>
      </c>
      <c r="D19" s="29"/>
      <c r="E19" s="29"/>
      <c r="F19" s="29"/>
      <c r="G19" s="30" t="str">
        <f aca="false">IF($B19="","",IFERROR(AVERAGE($D19:$F19),""))</f>
        <v/>
      </c>
      <c r="H19" s="30" t="str">
        <f aca="false">IF($B19="","",IFERROR(IF(COUNT($D19:$F19)&gt;0,MIN($D19:$F19),""),""))</f>
        <v/>
      </c>
      <c r="I19" s="30" t="str">
        <f aca="false">IF($B19="","",IFERROR(IF(COUNT($D19:$F19)&gt;0,MAX($D19:$F19),""),""))</f>
        <v/>
      </c>
      <c r="J19" s="1" t="str">
        <f aca="false">IF($B19="","",OPTIMIZER!T16)</f>
        <v/>
      </c>
      <c r="K19" s="1" t="str">
        <f aca="false">IF($B19="","",IF(OR($G19="",NOT(ISNUMBER($G19))),"No comp data",IF($J19&gt;$I19*(1+$B$5),"Above market",IF($J19&lt;$H19*(1-$B$6),"Below market","Within market"))))</f>
        <v/>
      </c>
      <c r="L19" s="1" t="str">
        <f aca="false">IF($B19="","",IF($K19="Above market","⚠ Above local market by &gt;"&amp;TEXT($B$5,"0%"),IF($K19="Below market","⚠ Below local market by &gt;"&amp;TEXT($B$6,"0%"),"")))</f>
        <v/>
      </c>
    </row>
    <row r="20" customFormat="false" ht="15" hidden="false" customHeight="true" outlineLevel="0" collapsed="false">
      <c r="A20" s="1" t="n">
        <v>12</v>
      </c>
      <c r="B20" s="1" t="str">
        <f aca="false">IF(OWNER_INPUTS!B17="","",OWNER_INPUTS!B17)</f>
        <v/>
      </c>
      <c r="C20" s="1" t="str">
        <f aca="false">IF($B20="","",OWNER_INPUTS!F17)</f>
        <v/>
      </c>
      <c r="D20" s="29"/>
      <c r="E20" s="29"/>
      <c r="F20" s="29"/>
      <c r="G20" s="30" t="str">
        <f aca="false">IF($B20="","",IFERROR(AVERAGE($D20:$F20),""))</f>
        <v/>
      </c>
      <c r="H20" s="30" t="str">
        <f aca="false">IF($B20="","",IFERROR(IF(COUNT($D20:$F20)&gt;0,MIN($D20:$F20),""),""))</f>
        <v/>
      </c>
      <c r="I20" s="30" t="str">
        <f aca="false">IF($B20="","",IFERROR(IF(COUNT($D20:$F20)&gt;0,MAX($D20:$F20),""),""))</f>
        <v/>
      </c>
      <c r="J20" s="1" t="str">
        <f aca="false">IF($B20="","",OPTIMIZER!T17)</f>
        <v/>
      </c>
      <c r="K20" s="1" t="str">
        <f aca="false">IF($B20="","",IF(OR($G20="",NOT(ISNUMBER($G20))),"No comp data",IF($J20&gt;$I20*(1+$B$5),"Above market",IF($J20&lt;$H20*(1-$B$6),"Below market","Within market"))))</f>
        <v/>
      </c>
      <c r="L20" s="1" t="str">
        <f aca="false">IF($B20="","",IF($K20="Above market","⚠ Above local market by &gt;"&amp;TEXT($B$5,"0%"),IF($K20="Below market","⚠ Below local market by &gt;"&amp;TEXT($B$6,"0%"),"")))</f>
        <v/>
      </c>
    </row>
    <row r="21" customFormat="false" ht="15" hidden="false" customHeight="true" outlineLevel="0" collapsed="false">
      <c r="A21" s="1" t="n">
        <v>13</v>
      </c>
      <c r="B21" s="1" t="str">
        <f aca="false">IF(OWNER_INPUTS!B18="","",OWNER_INPUTS!B18)</f>
        <v/>
      </c>
      <c r="C21" s="1" t="str">
        <f aca="false">IF($B21="","",OWNER_INPUTS!F18)</f>
        <v/>
      </c>
      <c r="D21" s="29"/>
      <c r="E21" s="29"/>
      <c r="F21" s="29"/>
      <c r="G21" s="30" t="str">
        <f aca="false">IF($B21="","",IFERROR(AVERAGE($D21:$F21),""))</f>
        <v/>
      </c>
      <c r="H21" s="30" t="str">
        <f aca="false">IF($B21="","",IFERROR(IF(COUNT($D21:$F21)&gt;0,MIN($D21:$F21),""),""))</f>
        <v/>
      </c>
      <c r="I21" s="30" t="str">
        <f aca="false">IF($B21="","",IFERROR(IF(COUNT($D21:$F21)&gt;0,MAX($D21:$F21),""),""))</f>
        <v/>
      </c>
      <c r="J21" s="1" t="str">
        <f aca="false">IF($B21="","",OPTIMIZER!T18)</f>
        <v/>
      </c>
      <c r="K21" s="1" t="str">
        <f aca="false">IF($B21="","",IF(OR($G21="",NOT(ISNUMBER($G21))),"No comp data",IF($J21&gt;$I21*(1+$B$5),"Above market",IF($J21&lt;$H21*(1-$B$6),"Below market","Within market"))))</f>
        <v/>
      </c>
      <c r="L21" s="1" t="str">
        <f aca="false">IF($B21="","",IF($K21="Above market","⚠ Above local market by &gt;"&amp;TEXT($B$5,"0%"),IF($K21="Below market","⚠ Below local market by &gt;"&amp;TEXT($B$6,"0%"),"")))</f>
        <v/>
      </c>
    </row>
    <row r="22" customFormat="false" ht="15" hidden="false" customHeight="true" outlineLevel="0" collapsed="false">
      <c r="A22" s="1" t="n">
        <v>14</v>
      </c>
      <c r="B22" s="1" t="str">
        <f aca="false">IF(OWNER_INPUTS!B19="","",OWNER_INPUTS!B19)</f>
        <v/>
      </c>
      <c r="C22" s="1" t="str">
        <f aca="false">IF($B22="","",OWNER_INPUTS!F19)</f>
        <v/>
      </c>
      <c r="D22" s="29"/>
      <c r="E22" s="29"/>
      <c r="F22" s="29"/>
      <c r="G22" s="30" t="str">
        <f aca="false">IF($B22="","",IFERROR(AVERAGE($D22:$F22),""))</f>
        <v/>
      </c>
      <c r="H22" s="30" t="str">
        <f aca="false">IF($B22="","",IFERROR(IF(COUNT($D22:$F22)&gt;0,MIN($D22:$F22),""),""))</f>
        <v/>
      </c>
      <c r="I22" s="30" t="str">
        <f aca="false">IF($B22="","",IFERROR(IF(COUNT($D22:$F22)&gt;0,MAX($D22:$F22),""),""))</f>
        <v/>
      </c>
      <c r="J22" s="1" t="str">
        <f aca="false">IF($B22="","",OPTIMIZER!T19)</f>
        <v/>
      </c>
      <c r="K22" s="1" t="str">
        <f aca="false">IF($B22="","",IF(OR($G22="",NOT(ISNUMBER($G22))),"No comp data",IF($J22&gt;$I22*(1+$B$5),"Above market",IF($J22&lt;$H22*(1-$B$6),"Below market","Within market"))))</f>
        <v/>
      </c>
      <c r="L22" s="1" t="str">
        <f aca="false">IF($B22="","",IF($K22="Above market","⚠ Above local market by &gt;"&amp;TEXT($B$5,"0%"),IF($K22="Below market","⚠ Below local market by &gt;"&amp;TEXT($B$6,"0%"),"")))</f>
        <v/>
      </c>
    </row>
    <row r="23" customFormat="false" ht="15" hidden="false" customHeight="true" outlineLevel="0" collapsed="false">
      <c r="A23" s="1" t="n">
        <v>15</v>
      </c>
      <c r="B23" s="1" t="str">
        <f aca="false">IF(OWNER_INPUTS!B20="","",OWNER_INPUTS!B20)</f>
        <v/>
      </c>
      <c r="C23" s="1" t="str">
        <f aca="false">IF($B23="","",OWNER_INPUTS!F20)</f>
        <v/>
      </c>
      <c r="D23" s="29"/>
      <c r="E23" s="29"/>
      <c r="F23" s="29"/>
      <c r="G23" s="30" t="str">
        <f aca="false">IF($B23="","",IFERROR(AVERAGE($D23:$F23),""))</f>
        <v/>
      </c>
      <c r="H23" s="30" t="str">
        <f aca="false">IF($B23="","",IFERROR(IF(COUNT($D23:$F23)&gt;0,MIN($D23:$F23),""),""))</f>
        <v/>
      </c>
      <c r="I23" s="30" t="str">
        <f aca="false">IF($B23="","",IFERROR(IF(COUNT($D23:$F23)&gt;0,MAX($D23:$F23),""),""))</f>
        <v/>
      </c>
      <c r="J23" s="1" t="str">
        <f aca="false">IF($B23="","",OPTIMIZER!T20)</f>
        <v/>
      </c>
      <c r="K23" s="1" t="str">
        <f aca="false">IF($B23="","",IF(OR($G23="",NOT(ISNUMBER($G23))),"No comp data",IF($J23&gt;$I23*(1+$B$5),"Above market",IF($J23&lt;$H23*(1-$B$6),"Below market","Within market"))))</f>
        <v/>
      </c>
      <c r="L23" s="1" t="str">
        <f aca="false">IF($B23="","",IF($K23="Above market","⚠ Above local market by &gt;"&amp;TEXT($B$5,"0%"),IF($K23="Below market","⚠ Below local market by &gt;"&amp;TEXT($B$6,"0%"),"")))</f>
        <v/>
      </c>
    </row>
    <row r="24" customFormat="false" ht="15" hidden="false" customHeight="true" outlineLevel="0" collapsed="false">
      <c r="A24" s="1" t="n">
        <v>16</v>
      </c>
      <c r="B24" s="1" t="str">
        <f aca="false">IF(OWNER_INPUTS!B21="","",OWNER_INPUTS!B21)</f>
        <v/>
      </c>
      <c r="C24" s="1" t="str">
        <f aca="false">IF($B24="","",OWNER_INPUTS!F21)</f>
        <v/>
      </c>
      <c r="D24" s="29"/>
      <c r="E24" s="29"/>
      <c r="F24" s="29"/>
      <c r="G24" s="30" t="str">
        <f aca="false">IF($B24="","",IFERROR(AVERAGE($D24:$F24),""))</f>
        <v/>
      </c>
      <c r="H24" s="30" t="str">
        <f aca="false">IF($B24="","",IFERROR(IF(COUNT($D24:$F24)&gt;0,MIN($D24:$F24),""),""))</f>
        <v/>
      </c>
      <c r="I24" s="30" t="str">
        <f aca="false">IF($B24="","",IFERROR(IF(COUNT($D24:$F24)&gt;0,MAX($D24:$F24),""),""))</f>
        <v/>
      </c>
      <c r="J24" s="1" t="str">
        <f aca="false">IF($B24="","",OPTIMIZER!T21)</f>
        <v/>
      </c>
      <c r="K24" s="1" t="str">
        <f aca="false">IF($B24="","",IF(OR($G24="",NOT(ISNUMBER($G24))),"No comp data",IF($J24&gt;$I24*(1+$B$5),"Above market",IF($J24&lt;$H24*(1-$B$6),"Below market","Within market"))))</f>
        <v/>
      </c>
      <c r="L24" s="1" t="str">
        <f aca="false">IF($B24="","",IF($K24="Above market","⚠ Above local market by &gt;"&amp;TEXT($B$5,"0%"),IF($K24="Below market","⚠ Below local market by &gt;"&amp;TEXT($B$6,"0%"),"")))</f>
        <v/>
      </c>
    </row>
    <row r="25" customFormat="false" ht="15" hidden="false" customHeight="true" outlineLevel="0" collapsed="false">
      <c r="A25" s="1" t="n">
        <v>17</v>
      </c>
      <c r="B25" s="1" t="str">
        <f aca="false">IF(OWNER_INPUTS!B22="","",OWNER_INPUTS!B22)</f>
        <v/>
      </c>
      <c r="C25" s="1" t="str">
        <f aca="false">IF($B25="","",OWNER_INPUTS!F22)</f>
        <v/>
      </c>
      <c r="D25" s="29"/>
      <c r="E25" s="29"/>
      <c r="F25" s="29"/>
      <c r="G25" s="30" t="str">
        <f aca="false">IF($B25="","",IFERROR(AVERAGE($D25:$F25),""))</f>
        <v/>
      </c>
      <c r="H25" s="30" t="str">
        <f aca="false">IF($B25="","",IFERROR(IF(COUNT($D25:$F25)&gt;0,MIN($D25:$F25),""),""))</f>
        <v/>
      </c>
      <c r="I25" s="30" t="str">
        <f aca="false">IF($B25="","",IFERROR(IF(COUNT($D25:$F25)&gt;0,MAX($D25:$F25),""),""))</f>
        <v/>
      </c>
      <c r="J25" s="1" t="str">
        <f aca="false">IF($B25="","",OPTIMIZER!T22)</f>
        <v/>
      </c>
      <c r="K25" s="1" t="str">
        <f aca="false">IF($B25="","",IF(OR($G25="",NOT(ISNUMBER($G25))),"No comp data",IF($J25&gt;$I25*(1+$B$5),"Above market",IF($J25&lt;$H25*(1-$B$6),"Below market","Within market"))))</f>
        <v/>
      </c>
      <c r="L25" s="1" t="str">
        <f aca="false">IF($B25="","",IF($K25="Above market","⚠ Above local market by &gt;"&amp;TEXT($B$5,"0%"),IF($K25="Below market","⚠ Below local market by &gt;"&amp;TEXT($B$6,"0%"),"")))</f>
        <v/>
      </c>
    </row>
    <row r="26" customFormat="false" ht="15" hidden="false" customHeight="true" outlineLevel="0" collapsed="false">
      <c r="A26" s="1" t="n">
        <v>18</v>
      </c>
      <c r="B26" s="1" t="str">
        <f aca="false">IF(OWNER_INPUTS!B23="","",OWNER_INPUTS!B23)</f>
        <v/>
      </c>
      <c r="C26" s="1" t="str">
        <f aca="false">IF($B26="","",OWNER_INPUTS!F23)</f>
        <v/>
      </c>
      <c r="D26" s="29"/>
      <c r="E26" s="29"/>
      <c r="F26" s="29"/>
      <c r="G26" s="30" t="str">
        <f aca="false">IF($B26="","",IFERROR(AVERAGE($D26:$F26),""))</f>
        <v/>
      </c>
      <c r="H26" s="30" t="str">
        <f aca="false">IF($B26="","",IFERROR(IF(COUNT($D26:$F26)&gt;0,MIN($D26:$F26),""),""))</f>
        <v/>
      </c>
      <c r="I26" s="30" t="str">
        <f aca="false">IF($B26="","",IFERROR(IF(COUNT($D26:$F26)&gt;0,MAX($D26:$F26),""),""))</f>
        <v/>
      </c>
      <c r="J26" s="1" t="str">
        <f aca="false">IF($B26="","",OPTIMIZER!T23)</f>
        <v/>
      </c>
      <c r="K26" s="1" t="str">
        <f aca="false">IF($B26="","",IF(OR($G26="",NOT(ISNUMBER($G26))),"No comp data",IF($J26&gt;$I26*(1+$B$5),"Above market",IF($J26&lt;$H26*(1-$B$6),"Below market","Within market"))))</f>
        <v/>
      </c>
      <c r="L26" s="1" t="str">
        <f aca="false">IF($B26="","",IF($K26="Above market","⚠ Above local market by &gt;"&amp;TEXT($B$5,"0%"),IF($K26="Below market","⚠ Below local market by &gt;"&amp;TEXT($B$6,"0%"),"")))</f>
        <v/>
      </c>
    </row>
    <row r="27" customFormat="false" ht="15" hidden="false" customHeight="true" outlineLevel="0" collapsed="false">
      <c r="A27" s="1" t="n">
        <v>19</v>
      </c>
      <c r="B27" s="1" t="str">
        <f aca="false">IF(OWNER_INPUTS!B24="","",OWNER_INPUTS!B24)</f>
        <v/>
      </c>
      <c r="C27" s="1" t="str">
        <f aca="false">IF($B27="","",OWNER_INPUTS!F24)</f>
        <v/>
      </c>
      <c r="D27" s="29"/>
      <c r="E27" s="29"/>
      <c r="F27" s="29"/>
      <c r="G27" s="30" t="str">
        <f aca="false">IF($B27="","",IFERROR(AVERAGE($D27:$F27),""))</f>
        <v/>
      </c>
      <c r="H27" s="30" t="str">
        <f aca="false">IF($B27="","",IFERROR(IF(COUNT($D27:$F27)&gt;0,MIN($D27:$F27),""),""))</f>
        <v/>
      </c>
      <c r="I27" s="30" t="str">
        <f aca="false">IF($B27="","",IFERROR(IF(COUNT($D27:$F27)&gt;0,MAX($D27:$F27),""),""))</f>
        <v/>
      </c>
      <c r="J27" s="1" t="str">
        <f aca="false">IF($B27="","",OPTIMIZER!T24)</f>
        <v/>
      </c>
      <c r="K27" s="1" t="str">
        <f aca="false">IF($B27="","",IF(OR($G27="",NOT(ISNUMBER($G27))),"No comp data",IF($J27&gt;$I27*(1+$B$5),"Above market",IF($J27&lt;$H27*(1-$B$6),"Below market","Within market"))))</f>
        <v/>
      </c>
      <c r="L27" s="1" t="str">
        <f aca="false">IF($B27="","",IF($K27="Above market","⚠ Above local market by &gt;"&amp;TEXT($B$5,"0%"),IF($K27="Below market","⚠ Below local market by &gt;"&amp;TEXT($B$6,"0%"),"")))</f>
        <v/>
      </c>
    </row>
    <row r="28" customFormat="false" ht="15" hidden="false" customHeight="true" outlineLevel="0" collapsed="false">
      <c r="A28" s="1" t="n">
        <v>20</v>
      </c>
      <c r="B28" s="1" t="str">
        <f aca="false">IF(OWNER_INPUTS!B25="","",OWNER_INPUTS!B25)</f>
        <v/>
      </c>
      <c r="C28" s="1" t="str">
        <f aca="false">IF($B28="","",OWNER_INPUTS!F25)</f>
        <v/>
      </c>
      <c r="D28" s="29"/>
      <c r="E28" s="29"/>
      <c r="F28" s="29"/>
      <c r="G28" s="30" t="str">
        <f aca="false">IF($B28="","",IFERROR(AVERAGE($D28:$F28),""))</f>
        <v/>
      </c>
      <c r="H28" s="30" t="str">
        <f aca="false">IF($B28="","",IFERROR(IF(COUNT($D28:$F28)&gt;0,MIN($D28:$F28),""),""))</f>
        <v/>
      </c>
      <c r="I28" s="30" t="str">
        <f aca="false">IF($B28="","",IFERROR(IF(COUNT($D28:$F28)&gt;0,MAX($D28:$F28),""),""))</f>
        <v/>
      </c>
      <c r="J28" s="1" t="str">
        <f aca="false">IF($B28="","",OPTIMIZER!T25)</f>
        <v/>
      </c>
      <c r="K28" s="1" t="str">
        <f aca="false">IF($B28="","",IF(OR($G28="",NOT(ISNUMBER($G28))),"No comp data",IF($J28&gt;$I28*(1+$B$5),"Above market",IF($J28&lt;$H28*(1-$B$6),"Below market","Within market"))))</f>
        <v/>
      </c>
      <c r="L28" s="1" t="str">
        <f aca="false">IF($B28="","",IF($K28="Above market","⚠ Above local market by &gt;"&amp;TEXT($B$5,"0%"),IF($K28="Below market","⚠ Below local market by &gt;"&amp;TEXT($B$6,"0%"),"")))</f>
        <v/>
      </c>
    </row>
    <row r="29" customFormat="false" ht="15" hidden="false" customHeight="true" outlineLevel="0" collapsed="false">
      <c r="A29" s="1" t="n">
        <v>21</v>
      </c>
      <c r="B29" s="1" t="str">
        <f aca="false">IF(OWNER_INPUTS!B26="","",OWNER_INPUTS!B26)</f>
        <v/>
      </c>
      <c r="C29" s="1" t="str">
        <f aca="false">IF($B29="","",OWNER_INPUTS!F26)</f>
        <v/>
      </c>
      <c r="D29" s="29"/>
      <c r="E29" s="29"/>
      <c r="F29" s="29"/>
      <c r="G29" s="30" t="str">
        <f aca="false">IF($B29="","",IFERROR(AVERAGE($D29:$F29),""))</f>
        <v/>
      </c>
      <c r="H29" s="30" t="str">
        <f aca="false">IF($B29="","",IFERROR(IF(COUNT($D29:$F29)&gt;0,MIN($D29:$F29),""),""))</f>
        <v/>
      </c>
      <c r="I29" s="30" t="str">
        <f aca="false">IF($B29="","",IFERROR(IF(COUNT($D29:$F29)&gt;0,MAX($D29:$F29),""),""))</f>
        <v/>
      </c>
      <c r="J29" s="1" t="str">
        <f aca="false">IF($B29="","",OPTIMIZER!T26)</f>
        <v/>
      </c>
      <c r="K29" s="1" t="str">
        <f aca="false">IF($B29="","",IF(OR($G29="",NOT(ISNUMBER($G29))),"No comp data",IF($J29&gt;$I29*(1+$B$5),"Above market",IF($J29&lt;$H29*(1-$B$6),"Below market","Within market"))))</f>
        <v/>
      </c>
      <c r="L29" s="1" t="str">
        <f aca="false">IF($B29="","",IF($K29="Above market","⚠ Above local market by &gt;"&amp;TEXT($B$5,"0%"),IF($K29="Below market","⚠ Below local market by &gt;"&amp;TEXT($B$6,"0%"),"")))</f>
        <v/>
      </c>
    </row>
    <row r="30" customFormat="false" ht="15" hidden="false" customHeight="true" outlineLevel="0" collapsed="false">
      <c r="A30" s="1" t="n">
        <v>22</v>
      </c>
      <c r="B30" s="1" t="str">
        <f aca="false">IF(OWNER_INPUTS!B27="","",OWNER_INPUTS!B27)</f>
        <v/>
      </c>
      <c r="C30" s="1" t="str">
        <f aca="false">IF($B30="","",OWNER_INPUTS!F27)</f>
        <v/>
      </c>
      <c r="D30" s="29"/>
      <c r="E30" s="29"/>
      <c r="F30" s="29"/>
      <c r="G30" s="30" t="str">
        <f aca="false">IF($B30="","",IFERROR(AVERAGE($D30:$F30),""))</f>
        <v/>
      </c>
      <c r="H30" s="30" t="str">
        <f aca="false">IF($B30="","",IFERROR(IF(COUNT($D30:$F30)&gt;0,MIN($D30:$F30),""),""))</f>
        <v/>
      </c>
      <c r="I30" s="30" t="str">
        <f aca="false">IF($B30="","",IFERROR(IF(COUNT($D30:$F30)&gt;0,MAX($D30:$F30),""),""))</f>
        <v/>
      </c>
      <c r="J30" s="1" t="str">
        <f aca="false">IF($B30="","",OPTIMIZER!T27)</f>
        <v/>
      </c>
      <c r="K30" s="1" t="str">
        <f aca="false">IF($B30="","",IF(OR($G30="",NOT(ISNUMBER($G30))),"No comp data",IF($J30&gt;$I30*(1+$B$5),"Above market",IF($J30&lt;$H30*(1-$B$6),"Below market","Within market"))))</f>
        <v/>
      </c>
      <c r="L30" s="1" t="str">
        <f aca="false">IF($B30="","",IF($K30="Above market","⚠ Above local market by &gt;"&amp;TEXT($B$5,"0%"),IF($K30="Below market","⚠ Below local market by &gt;"&amp;TEXT($B$6,"0%"),"")))</f>
        <v/>
      </c>
    </row>
    <row r="31" customFormat="false" ht="15" hidden="false" customHeight="true" outlineLevel="0" collapsed="false">
      <c r="A31" s="1" t="n">
        <v>23</v>
      </c>
      <c r="B31" s="1" t="str">
        <f aca="false">IF(OWNER_INPUTS!B28="","",OWNER_INPUTS!B28)</f>
        <v/>
      </c>
      <c r="C31" s="1" t="str">
        <f aca="false">IF($B31="","",OWNER_INPUTS!F28)</f>
        <v/>
      </c>
      <c r="D31" s="29"/>
      <c r="E31" s="29"/>
      <c r="F31" s="29"/>
      <c r="G31" s="30" t="str">
        <f aca="false">IF($B31="","",IFERROR(AVERAGE($D31:$F31),""))</f>
        <v/>
      </c>
      <c r="H31" s="30" t="str">
        <f aca="false">IF($B31="","",IFERROR(IF(COUNT($D31:$F31)&gt;0,MIN($D31:$F31),""),""))</f>
        <v/>
      </c>
      <c r="I31" s="30" t="str">
        <f aca="false">IF($B31="","",IFERROR(IF(COUNT($D31:$F31)&gt;0,MAX($D31:$F31),""),""))</f>
        <v/>
      </c>
      <c r="J31" s="1" t="str">
        <f aca="false">IF($B31="","",OPTIMIZER!T28)</f>
        <v/>
      </c>
      <c r="K31" s="1" t="str">
        <f aca="false">IF($B31="","",IF(OR($G31="",NOT(ISNUMBER($G31))),"No comp data",IF($J31&gt;$I31*(1+$B$5),"Above market",IF($J31&lt;$H31*(1-$B$6),"Below market","Within market"))))</f>
        <v/>
      </c>
      <c r="L31" s="1" t="str">
        <f aca="false">IF($B31="","",IF($K31="Above market","⚠ Above local market by &gt;"&amp;TEXT($B$5,"0%"),IF($K31="Below market","⚠ Below local market by &gt;"&amp;TEXT($B$6,"0%"),"")))</f>
        <v/>
      </c>
    </row>
    <row r="32" customFormat="false" ht="15" hidden="false" customHeight="true" outlineLevel="0" collapsed="false">
      <c r="A32" s="1" t="n">
        <v>24</v>
      </c>
      <c r="B32" s="1" t="str">
        <f aca="false">IF(OWNER_INPUTS!B29="","",OWNER_INPUTS!B29)</f>
        <v/>
      </c>
      <c r="C32" s="1" t="str">
        <f aca="false">IF($B32="","",OWNER_INPUTS!F29)</f>
        <v/>
      </c>
      <c r="D32" s="29"/>
      <c r="E32" s="29"/>
      <c r="F32" s="29"/>
      <c r="G32" s="30" t="str">
        <f aca="false">IF($B32="","",IFERROR(AVERAGE($D32:$F32),""))</f>
        <v/>
      </c>
      <c r="H32" s="30" t="str">
        <f aca="false">IF($B32="","",IFERROR(IF(COUNT($D32:$F32)&gt;0,MIN($D32:$F32),""),""))</f>
        <v/>
      </c>
      <c r="I32" s="30" t="str">
        <f aca="false">IF($B32="","",IFERROR(IF(COUNT($D32:$F32)&gt;0,MAX($D32:$F32),""),""))</f>
        <v/>
      </c>
      <c r="J32" s="1" t="str">
        <f aca="false">IF($B32="","",OPTIMIZER!T29)</f>
        <v/>
      </c>
      <c r="K32" s="1" t="str">
        <f aca="false">IF($B32="","",IF(OR($G32="",NOT(ISNUMBER($G32))),"No comp data",IF($J32&gt;$I32*(1+$B$5),"Above market",IF($J32&lt;$H32*(1-$B$6),"Below market","Within market"))))</f>
        <v/>
      </c>
      <c r="L32" s="1" t="str">
        <f aca="false">IF($B32="","",IF($K32="Above market","⚠ Above local market by &gt;"&amp;TEXT($B$5,"0%"),IF($K32="Below market","⚠ Below local market by &gt;"&amp;TEXT($B$6,"0%"),"")))</f>
        <v/>
      </c>
    </row>
    <row r="33" customFormat="false" ht="15" hidden="false" customHeight="true" outlineLevel="0" collapsed="false">
      <c r="A33" s="1" t="n">
        <v>25</v>
      </c>
      <c r="B33" s="1" t="str">
        <f aca="false">IF(OWNER_INPUTS!B30="","",OWNER_INPUTS!B30)</f>
        <v/>
      </c>
      <c r="C33" s="1" t="str">
        <f aca="false">IF($B33="","",OWNER_INPUTS!F30)</f>
        <v/>
      </c>
      <c r="D33" s="29"/>
      <c r="E33" s="29"/>
      <c r="F33" s="29"/>
      <c r="G33" s="30" t="str">
        <f aca="false">IF($B33="","",IFERROR(AVERAGE($D33:$F33),""))</f>
        <v/>
      </c>
      <c r="H33" s="30" t="str">
        <f aca="false">IF($B33="","",IFERROR(IF(COUNT($D33:$F33)&gt;0,MIN($D33:$F33),""),""))</f>
        <v/>
      </c>
      <c r="I33" s="30" t="str">
        <f aca="false">IF($B33="","",IFERROR(IF(COUNT($D33:$F33)&gt;0,MAX($D33:$F33),""),""))</f>
        <v/>
      </c>
      <c r="J33" s="1" t="str">
        <f aca="false">IF($B33="","",OPTIMIZER!T30)</f>
        <v/>
      </c>
      <c r="K33" s="1" t="str">
        <f aca="false">IF($B33="","",IF(OR($G33="",NOT(ISNUMBER($G33))),"No comp data",IF($J33&gt;$I33*(1+$B$5),"Above market",IF($J33&lt;$H33*(1-$B$6),"Below market","Within market"))))</f>
        <v/>
      </c>
      <c r="L33" s="1" t="str">
        <f aca="false">IF($B33="","",IF($K33="Above market","⚠ Above local market by &gt;"&amp;TEXT($B$5,"0%"),IF($K33="Below market","⚠ Below local market by &gt;"&amp;TEXT($B$6,"0%"),"")))</f>
        <v/>
      </c>
    </row>
    <row r="34" customFormat="false" ht="15" hidden="false" customHeight="true" outlineLevel="0" collapsed="false">
      <c r="A34" s="1" t="n">
        <v>26</v>
      </c>
      <c r="B34" s="1" t="str">
        <f aca="false">IF(OWNER_INPUTS!B31="","",OWNER_INPUTS!B31)</f>
        <v/>
      </c>
      <c r="C34" s="1" t="str">
        <f aca="false">IF($B34="","",OWNER_INPUTS!F31)</f>
        <v/>
      </c>
      <c r="D34" s="29"/>
      <c r="E34" s="29"/>
      <c r="F34" s="29"/>
      <c r="G34" s="30" t="str">
        <f aca="false">IF($B34="","",IFERROR(AVERAGE($D34:$F34),""))</f>
        <v/>
      </c>
      <c r="H34" s="30" t="str">
        <f aca="false">IF($B34="","",IFERROR(IF(COUNT($D34:$F34)&gt;0,MIN($D34:$F34),""),""))</f>
        <v/>
      </c>
      <c r="I34" s="30" t="str">
        <f aca="false">IF($B34="","",IFERROR(IF(COUNT($D34:$F34)&gt;0,MAX($D34:$F34),""),""))</f>
        <v/>
      </c>
      <c r="J34" s="1" t="str">
        <f aca="false">IF($B34="","",OPTIMIZER!T31)</f>
        <v/>
      </c>
      <c r="K34" s="1" t="str">
        <f aca="false">IF($B34="","",IF(OR($G34="",NOT(ISNUMBER($G34))),"No comp data",IF($J34&gt;$I34*(1+$B$5),"Above market",IF($J34&lt;$H34*(1-$B$6),"Below market","Within market"))))</f>
        <v/>
      </c>
      <c r="L34" s="1" t="str">
        <f aca="false">IF($B34="","",IF($K34="Above market","⚠ Above local market by &gt;"&amp;TEXT($B$5,"0%"),IF($K34="Below market","⚠ Below local market by &gt;"&amp;TEXT($B$6,"0%"),"")))</f>
        <v/>
      </c>
    </row>
    <row r="35" customFormat="false" ht="15" hidden="false" customHeight="true" outlineLevel="0" collapsed="false">
      <c r="A35" s="1" t="n">
        <v>27</v>
      </c>
      <c r="B35" s="1" t="str">
        <f aca="false">IF(OWNER_INPUTS!B32="","",OWNER_INPUTS!B32)</f>
        <v/>
      </c>
      <c r="C35" s="1" t="str">
        <f aca="false">IF($B35="","",OWNER_INPUTS!F32)</f>
        <v/>
      </c>
      <c r="D35" s="29"/>
      <c r="E35" s="29"/>
      <c r="F35" s="29"/>
      <c r="G35" s="30" t="str">
        <f aca="false">IF($B35="","",IFERROR(AVERAGE($D35:$F35),""))</f>
        <v/>
      </c>
      <c r="H35" s="30" t="str">
        <f aca="false">IF($B35="","",IFERROR(IF(COUNT($D35:$F35)&gt;0,MIN($D35:$F35),""),""))</f>
        <v/>
      </c>
      <c r="I35" s="30" t="str">
        <f aca="false">IF($B35="","",IFERROR(IF(COUNT($D35:$F35)&gt;0,MAX($D35:$F35),""),""))</f>
        <v/>
      </c>
      <c r="J35" s="1" t="str">
        <f aca="false">IF($B35="","",OPTIMIZER!T32)</f>
        <v/>
      </c>
      <c r="K35" s="1" t="str">
        <f aca="false">IF($B35="","",IF(OR($G35="",NOT(ISNUMBER($G35))),"No comp data",IF($J35&gt;$I35*(1+$B$5),"Above market",IF($J35&lt;$H35*(1-$B$6),"Below market","Within market"))))</f>
        <v/>
      </c>
      <c r="L35" s="1" t="str">
        <f aca="false">IF($B35="","",IF($K35="Above market","⚠ Above local market by &gt;"&amp;TEXT($B$5,"0%"),IF($K35="Below market","⚠ Below local market by &gt;"&amp;TEXT($B$6,"0%"),"")))</f>
        <v/>
      </c>
    </row>
    <row r="36" customFormat="false" ht="15" hidden="false" customHeight="true" outlineLevel="0" collapsed="false">
      <c r="A36" s="1" t="n">
        <v>28</v>
      </c>
      <c r="B36" s="1" t="str">
        <f aca="false">IF(OWNER_INPUTS!B33="","",OWNER_INPUTS!B33)</f>
        <v/>
      </c>
      <c r="C36" s="1" t="str">
        <f aca="false">IF($B36="","",OWNER_INPUTS!F33)</f>
        <v/>
      </c>
      <c r="D36" s="29"/>
      <c r="E36" s="29"/>
      <c r="F36" s="29"/>
      <c r="G36" s="30" t="str">
        <f aca="false">IF($B36="","",IFERROR(AVERAGE($D36:$F36),""))</f>
        <v/>
      </c>
      <c r="H36" s="30" t="str">
        <f aca="false">IF($B36="","",IFERROR(IF(COUNT($D36:$F36)&gt;0,MIN($D36:$F36),""),""))</f>
        <v/>
      </c>
      <c r="I36" s="30" t="str">
        <f aca="false">IF($B36="","",IFERROR(IF(COUNT($D36:$F36)&gt;0,MAX($D36:$F36),""),""))</f>
        <v/>
      </c>
      <c r="J36" s="1" t="str">
        <f aca="false">IF($B36="","",OPTIMIZER!T33)</f>
        <v/>
      </c>
      <c r="K36" s="1" t="str">
        <f aca="false">IF($B36="","",IF(OR($G36="",NOT(ISNUMBER($G36))),"No comp data",IF($J36&gt;$I36*(1+$B$5),"Above market",IF($J36&lt;$H36*(1-$B$6),"Below market","Within market"))))</f>
        <v/>
      </c>
      <c r="L36" s="1" t="str">
        <f aca="false">IF($B36="","",IF($K36="Above market","⚠ Above local market by &gt;"&amp;TEXT($B$5,"0%"),IF($K36="Below market","⚠ Below local market by &gt;"&amp;TEXT($B$6,"0%"),"")))</f>
        <v/>
      </c>
    </row>
    <row r="37" customFormat="false" ht="15" hidden="false" customHeight="true" outlineLevel="0" collapsed="false">
      <c r="A37" s="1" t="n">
        <v>29</v>
      </c>
      <c r="B37" s="1" t="str">
        <f aca="false">IF(OWNER_INPUTS!B34="","",OWNER_INPUTS!B34)</f>
        <v/>
      </c>
      <c r="C37" s="1" t="str">
        <f aca="false">IF($B37="","",OWNER_INPUTS!F34)</f>
        <v/>
      </c>
      <c r="D37" s="29"/>
      <c r="E37" s="29"/>
      <c r="F37" s="29"/>
      <c r="G37" s="30" t="str">
        <f aca="false">IF($B37="","",IFERROR(AVERAGE($D37:$F37),""))</f>
        <v/>
      </c>
      <c r="H37" s="30" t="str">
        <f aca="false">IF($B37="","",IFERROR(IF(COUNT($D37:$F37)&gt;0,MIN($D37:$F37),""),""))</f>
        <v/>
      </c>
      <c r="I37" s="30" t="str">
        <f aca="false">IF($B37="","",IFERROR(IF(COUNT($D37:$F37)&gt;0,MAX($D37:$F37),""),""))</f>
        <v/>
      </c>
      <c r="J37" s="1" t="str">
        <f aca="false">IF($B37="","",OPTIMIZER!T34)</f>
        <v/>
      </c>
      <c r="K37" s="1" t="str">
        <f aca="false">IF($B37="","",IF(OR($G37="",NOT(ISNUMBER($G37))),"No comp data",IF($J37&gt;$I37*(1+$B$5),"Above market",IF($J37&lt;$H37*(1-$B$6),"Below market","Within market"))))</f>
        <v/>
      </c>
      <c r="L37" s="1" t="str">
        <f aca="false">IF($B37="","",IF($K37="Above market","⚠ Above local market by &gt;"&amp;TEXT($B$5,"0%"),IF($K37="Below market","⚠ Below local market by &gt;"&amp;TEXT($B$6,"0%"),"")))</f>
        <v/>
      </c>
    </row>
    <row r="38" customFormat="false" ht="15" hidden="false" customHeight="true" outlineLevel="0" collapsed="false">
      <c r="A38" s="1" t="n">
        <v>30</v>
      </c>
      <c r="B38" s="1" t="str">
        <f aca="false">IF(OWNER_INPUTS!B35="","",OWNER_INPUTS!B35)</f>
        <v/>
      </c>
      <c r="C38" s="1" t="str">
        <f aca="false">IF($B38="","",OWNER_INPUTS!F35)</f>
        <v/>
      </c>
      <c r="D38" s="29"/>
      <c r="E38" s="29"/>
      <c r="F38" s="29"/>
      <c r="G38" s="30" t="str">
        <f aca="false">IF($B38="","",IFERROR(AVERAGE($D38:$F38),""))</f>
        <v/>
      </c>
      <c r="H38" s="30" t="str">
        <f aca="false">IF($B38="","",IFERROR(IF(COUNT($D38:$F38)&gt;0,MIN($D38:$F38),""),""))</f>
        <v/>
      </c>
      <c r="I38" s="30" t="str">
        <f aca="false">IF($B38="","",IFERROR(IF(COUNT($D38:$F38)&gt;0,MAX($D38:$F38),""),""))</f>
        <v/>
      </c>
      <c r="J38" s="1" t="str">
        <f aca="false">IF($B38="","",OPTIMIZER!T35)</f>
        <v/>
      </c>
      <c r="K38" s="1" t="str">
        <f aca="false">IF($B38="","",IF(OR($G38="",NOT(ISNUMBER($G38))),"No comp data",IF($J38&gt;$I38*(1+$B$5),"Above market",IF($J38&lt;$H38*(1-$B$6),"Below market","Within market"))))</f>
        <v/>
      </c>
      <c r="L38" s="1" t="str">
        <f aca="false">IF($B38="","",IF($K38="Above market","⚠ Above local market by &gt;"&amp;TEXT($B$5,"0%"),IF($K38="Below market","⚠ Below local market by &gt;"&amp;TEXT($B$6,"0%"),"")))</f>
        <v/>
      </c>
    </row>
    <row r="40" customFormat="false" ht="15" hidden="false" customHeight="true" outlineLevel="0" collapsed="false">
      <c r="A40" s="5" t="s">
        <v>115</v>
      </c>
    </row>
    <row r="41" customFormat="false" ht="15" hidden="false" customHeight="true" outlineLevel="0" collapsed="false">
      <c r="A41" s="24" t="s">
        <v>116</v>
      </c>
      <c r="B41" s="31" t="n">
        <f aca="false">SUMPRODUCT(($B9:$B38&lt;&gt;"")*(ISNUMBER($G9:$G38)))</f>
        <v>0</v>
      </c>
    </row>
    <row r="42" customFormat="false" ht="15" hidden="false" customHeight="true" outlineLevel="0" collapsed="false">
      <c r="A42" s="24" t="s">
        <v>117</v>
      </c>
      <c r="B42" s="31" t="n">
        <f aca="false">COUNTIF($K9:$K38,"Above market")</f>
        <v>0</v>
      </c>
    </row>
    <row r="43" customFormat="false" ht="15" hidden="false" customHeight="true" outlineLevel="0" collapsed="false">
      <c r="A43" s="24" t="s">
        <v>118</v>
      </c>
      <c r="B43" s="31" t="n">
        <f aca="false">COUNTIF($K9:$K38,"Below market")</f>
        <v>0</v>
      </c>
    </row>
    <row r="44" customFormat="false" ht="15" hidden="false" customHeight="true" outlineLevel="0" collapsed="false">
      <c r="A44" s="24" t="s">
        <v>119</v>
      </c>
      <c r="B44" s="31" t="n">
        <f aca="false">COUNTIF($K9:$K38,"Within market")</f>
        <v>0</v>
      </c>
    </row>
  </sheetData>
  <mergeCells count="1">
    <mergeCell ref="A3:L3"/>
  </mergeCells>
  <conditionalFormatting sqref="L9:L38">
    <cfRule type="expression" priority="2" aboveAverage="0" equalAverage="0" bottom="0" percent="0" rank="0" text="" dxfId="0">
      <formula>$K9="Above market"</formula>
    </cfRule>
    <cfRule type="expression" priority="3" aboveAverage="0" equalAverage="0" bottom="0" percent="0" rank="0" text="" dxfId="1">
      <formula>$K9="Below market"</formula>
    </cfRule>
    <cfRule type="expression" priority="4" aboveAverage="0" equalAverage="0" bottom="0" percent="0" rank="0" text="" dxfId="2">
      <formula>$K9="Within market"</formula>
    </cfRule>
  </conditionalFormatting>
  <dataValidations count="2">
    <dataValidation allowBlank="false" errorStyle="stop" operator="between" prompt="How far recommendations must exceed/undercut the market range before being flagged. Default 0.20 = 20%." promptTitle="Market tolerance" showDropDown="false" showErrorMessage="false" showInputMessage="true" sqref="B5:B6" type="decimal">
      <formula1>0</formula1>
      <formula2>1</formula2>
    </dataValidation>
    <dataValidation allowBlank="true" error="Competitor price must be positive (or blank)." errorStyle="stop" errorTitle="Invalid price" operator="greaterThan" prompt="Price at a nearby competing café for this item. Leave blank if not applicable." promptTitle="Competitor price" showDropDown="false" showErrorMessage="true" showInputMessage="true" sqref="D9:F38" type="decimal">
      <formula1>0</formula1>
      <formula2>0</formula2>
    </dataValidation>
  </dataValidations>
  <printOptions headings="false" gridLines="false" gridLinesSet="true" horizontalCentered="false" verticalCentered="false"/>
  <pageMargins left="0.5" right="0.5"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K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1"/>
    <col collapsed="false" customWidth="true" hidden="false" outlineLevel="0" max="5" min="3" style="1" width="9"/>
    <col collapsed="false" customWidth="true" hidden="false" outlineLevel="0" max="6" min="6" style="1" width="16"/>
    <col collapsed="false" customWidth="true" hidden="false" outlineLevel="0" max="7" min="7" style="1" width="13"/>
    <col collapsed="false" customWidth="true" hidden="false" outlineLevel="0" max="9" min="8" style="1" width="14"/>
    <col collapsed="false" customWidth="true" hidden="false" outlineLevel="0" max="10" min="10" style="1" width="18"/>
    <col collapsed="false" customWidth="true" hidden="false" outlineLevel="0" max="11" min="11" style="1" width="60"/>
  </cols>
  <sheetData>
    <row r="1" customFormat="false" ht="37.5" hidden="false" customHeight="true" outlineLevel="0" collapsed="false">
      <c r="A1" s="32" t="s">
        <v>120</v>
      </c>
      <c r="B1" s="32"/>
      <c r="C1" s="32"/>
      <c r="D1" s="32"/>
      <c r="E1" s="32"/>
      <c r="F1" s="32"/>
      <c r="G1" s="32"/>
      <c r="H1" s="32"/>
    </row>
    <row r="2" customFormat="false" ht="21.75" hidden="false" customHeight="true" outlineLevel="0" collapsed="false">
      <c r="A2" s="33" t="s">
        <v>121</v>
      </c>
      <c r="B2" s="33"/>
      <c r="C2" s="33"/>
      <c r="D2" s="33"/>
      <c r="E2" s="33"/>
      <c r="F2" s="33"/>
      <c r="G2" s="33"/>
      <c r="H2" s="33"/>
    </row>
    <row r="3" customFormat="false" ht="24" hidden="false" customHeight="true" outlineLevel="0" collapsed="false">
      <c r="A3" s="34" t="str">
        <f aca="false">IF(OR(QA_CHECKS!C14="FLAG",QA_CHECKS!C15="FLAG",QA_CHECKS!C16="FLAG",QA_CHECKS!C17="FLAG",QA_CHECKS!C24="FLAG",QA_CHECKS!C27="FAIL",QA_CHECKS!C28="FAIL",QA_CHECKS!C29="FAIL",QA_CHECKS!C30="FAIL",QA_CHECKS!C31="FAIL"),"⚠ DATA QUALITY WARNING — One or more Hard QA checks are failing. Review QA_CHECKS before showing this to a client. Headline numbers below may be misleading.","")</f>
        <v/>
      </c>
      <c r="B3" s="34"/>
      <c r="C3" s="34"/>
      <c r="D3" s="34"/>
      <c r="E3" s="34"/>
      <c r="F3" s="34"/>
      <c r="G3" s="34"/>
      <c r="H3" s="34"/>
      <c r="I3" s="34"/>
      <c r="J3" s="34"/>
      <c r="K3" s="34"/>
    </row>
    <row r="4" customFormat="false" ht="18" hidden="false" customHeight="true" outlineLevel="0" collapsed="false">
      <c r="A4" s="35" t="s">
        <v>122</v>
      </c>
      <c r="B4" s="35"/>
      <c r="C4" s="35" t="s">
        <v>123</v>
      </c>
      <c r="D4" s="35"/>
      <c r="E4" s="35" t="s">
        <v>124</v>
      </c>
      <c r="F4" s="35"/>
      <c r="G4" s="35" t="s">
        <v>125</v>
      </c>
      <c r="H4" s="35"/>
    </row>
    <row r="5" customFormat="false" ht="30" hidden="false" customHeight="true" outlineLevel="0" collapsed="false">
      <c r="A5" s="36" t="n">
        <f aca="false">opt_total_lift</f>
        <v>372.232045824101</v>
      </c>
      <c r="B5" s="36"/>
      <c r="C5" s="37" t="n">
        <f aca="false">opt_lift_pct</f>
        <v>0.0143941239684494</v>
      </c>
      <c r="D5" s="37"/>
      <c r="E5" s="38" t="str">
        <f aca="false">COUNTIF(OPTIMIZER!U6:U35,"&lt;&gt;0")-COUNTBLANK(OPTIMIZER!U6:U35)&amp;" of "&amp;COUNTA(OPTIMIZER!B6:B35)</f>
        <v>6 of 30</v>
      </c>
      <c r="F5" s="38"/>
      <c r="G5" s="38" t="str">
        <f aca="false">QA_CHECKS!C32</f>
        <v>LOW</v>
      </c>
      <c r="H5" s="38"/>
    </row>
    <row r="6" customFormat="false" ht="30" hidden="false" customHeight="true" outlineLevel="0" collapsed="false">
      <c r="A6" s="36"/>
      <c r="B6" s="36"/>
      <c r="C6" s="37"/>
      <c r="D6" s="37"/>
      <c r="E6" s="38"/>
      <c r="F6" s="38"/>
      <c r="G6" s="38"/>
      <c r="H6" s="38"/>
    </row>
    <row r="7" customFormat="false" ht="18" hidden="false" customHeight="true" outlineLevel="0" collapsed="false">
      <c r="A7" s="39" t="str">
        <f aca="false">cfg_currency&amp;" per month, vs current"</f>
        <v>USD per month, vs current</v>
      </c>
      <c r="B7" s="39"/>
      <c r="C7" s="39" t="str">
        <f aca="false">IF(opt_baseline=0,"—","based on current contribution margin")</f>
        <v>based on current contribution margin</v>
      </c>
      <c r="D7" s="39"/>
      <c r="E7" s="39" t="s">
        <v>126</v>
      </c>
      <c r="F7" s="39"/>
      <c r="G7" s="39" t="str">
        <f aca="false">"Best item: "&amp;IFERROR(INDEX(OPTIMIZER!B6:B35,MATCH(maxifs(OPTIMIZER!X6:X35,OPTIMIZER!J6:J35,"HIGH",OPTIMIZER!B6:B35,"&lt;&gt;"),OPTIMIZER!X6:X35,0)),IFERROR(INDEX(OPTIMIZER!B6:B35,MATCH(maxifs(OPTIMIZER!X6:X35,OPTIMIZER!J6:J35,"MEDIUM",OPTIMIZER!B6:B35,"&lt;&gt;"),OPTIMIZER!X6:X35,0)),IFERROR(INDEX(OPTIMIZER!B6:B35,MATCH(MAX(OPTIMIZER!X6:X35),OPTIMIZER!X6:X35,0)),"no items configured")))</f>
        <v>Best item: Pancakes</v>
      </c>
      <c r="H7" s="39"/>
    </row>
    <row r="9" customFormat="false" ht="21.75" hidden="false" customHeight="true" outlineLevel="0" collapsed="false">
      <c r="A9" s="40" t="s">
        <v>127</v>
      </c>
      <c r="B9" s="40"/>
      <c r="C9" s="40"/>
      <c r="D9" s="40"/>
      <c r="E9" s="40"/>
      <c r="F9" s="40"/>
      <c r="G9" s="40"/>
      <c r="H9" s="40"/>
    </row>
    <row r="10" customFormat="false" ht="27.75" hidden="false" customHeight="true" outlineLevel="0" collapsed="false">
      <c r="A10" s="14" t="s">
        <v>104</v>
      </c>
      <c r="B10" s="14" t="s">
        <v>128</v>
      </c>
      <c r="C10" s="14" t="s">
        <v>129</v>
      </c>
      <c r="D10" s="14" t="s">
        <v>130</v>
      </c>
      <c r="E10" s="14" t="s">
        <v>131</v>
      </c>
      <c r="F10" s="14" t="s">
        <v>132</v>
      </c>
      <c r="G10" s="14" t="s">
        <v>133</v>
      </c>
      <c r="H10" s="14" t="s">
        <v>134</v>
      </c>
      <c r="I10" s="27" t="s">
        <v>135</v>
      </c>
      <c r="J10" s="27" t="s">
        <v>136</v>
      </c>
      <c r="K10" s="27" t="s">
        <v>137</v>
      </c>
    </row>
    <row r="11" customFormat="false" ht="15" hidden="false" customHeight="true" outlineLevel="0" collapsed="false">
      <c r="A11" s="41" t="str">
        <f aca="false">IF(OPTIMIZER!B6="","",OPTIMIZER!B6)</f>
        <v>Flat White</v>
      </c>
      <c r="B11" s="15" t="str">
        <f aca="false">IF(OPTIMIZER!B6="","",IF(ABS(OPTIMIZER!U6)&lt;0.005,"Hold",IF(OPTIMIZER!U6&gt;0,"Raise","Cut")))</f>
        <v>Raise</v>
      </c>
      <c r="C11" s="42" t="n">
        <f aca="false">IF(OPTIMIZER!B6="","",OPTIMIZER!F6)</f>
        <v>4.2</v>
      </c>
      <c r="D11" s="42" t="n">
        <f aca="false">IF(OPTIMIZER!B6="","",OPTIMIZER!T6)</f>
        <v>4.3</v>
      </c>
      <c r="E11" s="43" t="n">
        <f aca="false">IF(OPTIMIZER!B6="","",OPTIMIZER!U6)</f>
        <v>0.0238095238095237</v>
      </c>
      <c r="F11" s="44" t="n">
        <f aca="false">IF(OPTIMIZER!B6="","",OPTIMIZER!X6)</f>
        <v>23.5203735467366</v>
      </c>
      <c r="G11" s="45" t="str">
        <f aca="false">IF(OPTIMIZER!B6="","",OPTIMIZER!J6)</f>
        <v>LOW</v>
      </c>
      <c r="H11" s="45" t="str">
        <f aca="false">IF(OPTIMIZER!B6="","",IF(ABS(OPTIMIZER!U6)&lt;0.005,"Hold",IF(OPTIMIZER!J6="HIGH","Now","Pilot first")))</f>
        <v>Pilot first</v>
      </c>
      <c r="I11" s="1" t="str">
        <f aca="false">IF(OPTIMIZER!B6="","",MENU_ENGINEERING!K10)</f>
        <v>Star</v>
      </c>
      <c r="J11" s="1" t="str">
        <f aca="false">IF(OPTIMIZER!B6="","",COMPETITOR_BENCHMARK!K9)</f>
        <v>No comp data</v>
      </c>
      <c r="K11" s="1" t="str">
        <f aca="false">IF(OPTIMIZER!B6="","",IF(ABS(OPTIMIZER!U6)&lt;0.005,"Hold. ",IF(OPTIMIZER!U6&gt;0,IF(OPTIMIZER!U6&lt;0.02,"Small raise. ",IF(OPTIMIZER!U6&lt;0.05,"Modest raise. ","Notable raise. ")),IF(OPTIMIZER!U6&gt;-0.02,"Small cut. ",IF(OPTIMIZER!U6&gt;-0.05,"Modest cut. ","Notable cut. "))))&amp;IF(OPTIMIZER!D6="Traffic Driver","Traffic Driver — protect entry price. ",IF(AND(OR(OPTIMIZER!D6="Signature",OPTIMIZER!D6="Premium Anchor"),MENU_ENGINEERING!K10="Dog"),OPTIMIZER!D6&amp;" role in Dog quadrant — protect intentionally. ",IF(MENU_ENGINEERING!K10="Star","Star — protect leadership. ",IF(MENU_ENGINEERING!K10="Plowhorse","Plowhorse — capture margin. ",IF(MENU_ENGINEERING!K10="Puzzle","Puzzle — promote or reposition. ",IF(MENU_ENGINEERING!K10="Dog","Dog — consider removal. ",""))))))&amp;IF(OPTIMIZER!J6="HIGH","Ship now.",IF(OPTIMIZER!J6="MEDIUM","Test first.","Pilot small — using prior.")))</f>
        <v>Modest raise. Traffic Driver — protect entry price. Pilot small — using prior.</v>
      </c>
    </row>
    <row r="12" customFormat="false" ht="15" hidden="false" customHeight="true" outlineLevel="0" collapsed="false">
      <c r="A12" s="41" t="str">
        <f aca="false">IF(OPTIMIZER!B7="","",OPTIMIZER!B7)</f>
        <v>Matcha Latte</v>
      </c>
      <c r="B12" s="15" t="str">
        <f aca="false">IF(OPTIMIZER!B7="","",IF(ABS(OPTIMIZER!U7)&lt;0.005,"Hold",IF(OPTIMIZER!U7&gt;0,"Raise","Cut")))</f>
        <v>Raise</v>
      </c>
      <c r="C12" s="42" t="n">
        <f aca="false">IF(OPTIMIZER!B7="","",OPTIMIZER!F7)</f>
        <v>4.8</v>
      </c>
      <c r="D12" s="42" t="n">
        <f aca="false">IF(OPTIMIZER!B7="","",OPTIMIZER!T7)</f>
        <v>4.9</v>
      </c>
      <c r="E12" s="43" t="n">
        <f aca="false">IF(OPTIMIZER!B7="","",OPTIMIZER!U7)</f>
        <v>0.0208333333333335</v>
      </c>
      <c r="F12" s="44" t="n">
        <f aca="false">IF(OPTIMIZER!B7="","",OPTIMIZER!X7)</f>
        <v>8.9141750121064</v>
      </c>
      <c r="G12" s="45" t="str">
        <f aca="false">IF(OPTIMIZER!B7="","",OPTIMIZER!J7)</f>
        <v>LOW</v>
      </c>
      <c r="H12" s="45" t="str">
        <f aca="false">IF(OPTIMIZER!B7="","",IF(ABS(OPTIMIZER!U7)&lt;0.005,"Hold",IF(OPTIMIZER!J7="HIGH","Now","Pilot first")))</f>
        <v>Pilot first</v>
      </c>
      <c r="I12" s="1" t="str">
        <f aca="false">IF(OPTIMIZER!B7="","",MENU_ENGINEERING!K11)</f>
        <v>Star</v>
      </c>
      <c r="J12" s="1" t="str">
        <f aca="false">IF(OPTIMIZER!B7="","",COMPETITOR_BENCHMARK!K10)</f>
        <v>No comp data</v>
      </c>
      <c r="K12" s="1" t="str">
        <f aca="false">IF(OPTIMIZER!B7="","",IF(ABS(OPTIMIZER!U7)&lt;0.005,"Hold. ",IF(OPTIMIZER!U7&gt;0,IF(OPTIMIZER!U7&lt;0.02,"Small raise. ",IF(OPTIMIZER!U7&lt;0.05,"Modest raise. ","Notable raise. ")),IF(OPTIMIZER!U7&gt;-0.02,"Small cut. ",IF(OPTIMIZER!U7&gt;-0.05,"Modest cut. ","Notable cut. "))))&amp;IF(OPTIMIZER!D7="Traffic Driver","Traffic Driver — protect entry price. ",IF(AND(OR(OPTIMIZER!D7="Signature",OPTIMIZER!D7="Premium Anchor"),MENU_ENGINEERING!K11="Dog"),OPTIMIZER!D7&amp;" role in Dog quadrant — protect intentionally. ",IF(MENU_ENGINEERING!K11="Star","Star — protect leadership. ",IF(MENU_ENGINEERING!K11="Plowhorse","Plowhorse — capture margin. ",IF(MENU_ENGINEERING!K11="Puzzle","Puzzle — promote or reposition. ",IF(MENU_ENGINEERING!K11="Dog","Dog — consider removal. ",""))))))&amp;IF(OPTIMIZER!J7="HIGH","Ship now.",IF(OPTIMIZER!J7="MEDIUM","Test first.","Pilot small — using prior.")))</f>
        <v>Modest raise. Star — protect leadership. Pilot small — using prior.</v>
      </c>
    </row>
    <row r="13" customFormat="false" ht="15" hidden="false" customHeight="true" outlineLevel="0" collapsed="false">
      <c r="A13" s="41" t="str">
        <f aca="false">IF(OPTIMIZER!B8="","",OPTIMIZER!B8)</f>
        <v>Eggs Benedict</v>
      </c>
      <c r="B13" s="15" t="str">
        <f aca="false">IF(OPTIMIZER!B8="","",IF(ABS(OPTIMIZER!U8)&lt;0.005,"Hold",IF(OPTIMIZER!U8&gt;0,"Raise","Cut")))</f>
        <v>Raise</v>
      </c>
      <c r="C13" s="42" t="n">
        <f aca="false">IF(OPTIMIZER!B8="","",OPTIMIZER!F8)</f>
        <v>9.8</v>
      </c>
      <c r="D13" s="42" t="n">
        <f aca="false">IF(OPTIMIZER!B8="","",OPTIMIZER!T8)</f>
        <v>9.9</v>
      </c>
      <c r="E13" s="43" t="n">
        <f aca="false">IF(OPTIMIZER!B8="","",OPTIMIZER!U8)</f>
        <v>0.010204081632653</v>
      </c>
      <c r="F13" s="44" t="n">
        <f aca="false">IF(OPTIMIZER!B8="","",OPTIMIZER!X8)</f>
        <v>48.5034111362185</v>
      </c>
      <c r="G13" s="45" t="str">
        <f aca="false">IF(OPTIMIZER!B8="","",OPTIMIZER!J8)</f>
        <v>LOW</v>
      </c>
      <c r="H13" s="45" t="str">
        <f aca="false">IF(OPTIMIZER!B8="","",IF(ABS(OPTIMIZER!U8)&lt;0.005,"Hold",IF(OPTIMIZER!J8="HIGH","Now","Pilot first")))</f>
        <v>Pilot first</v>
      </c>
      <c r="I13" s="1" t="str">
        <f aca="false">IF(OPTIMIZER!B8="","",MENU_ENGINEERING!K12)</f>
        <v>Dog</v>
      </c>
      <c r="J13" s="1" t="str">
        <f aca="false">IF(OPTIMIZER!B8="","",COMPETITOR_BENCHMARK!K11)</f>
        <v>No comp data</v>
      </c>
      <c r="K13" s="1" t="str">
        <f aca="false">IF(OPTIMIZER!B8="","",IF(ABS(OPTIMIZER!U8)&lt;0.005,"Hold. ",IF(OPTIMIZER!U8&gt;0,IF(OPTIMIZER!U8&lt;0.02,"Small raise. ",IF(OPTIMIZER!U8&lt;0.05,"Modest raise. ","Notable raise. ")),IF(OPTIMIZER!U8&gt;-0.02,"Small cut. ",IF(OPTIMIZER!U8&gt;-0.05,"Modest cut. ","Notable cut. "))))&amp;IF(OPTIMIZER!D8="Traffic Driver","Traffic Driver — protect entry price. ",IF(AND(OR(OPTIMIZER!D8="Signature",OPTIMIZER!D8="Premium Anchor"),MENU_ENGINEERING!K12="Dog"),OPTIMIZER!D8&amp;" role in Dog quadrant — protect intentionally. ",IF(MENU_ENGINEERING!K12="Star","Star — protect leadership. ",IF(MENU_ENGINEERING!K12="Plowhorse","Plowhorse — capture margin. ",IF(MENU_ENGINEERING!K12="Puzzle","Puzzle — promote or reposition. ",IF(MENU_ENGINEERING!K12="Dog","Dog — consider removal. ",""))))))&amp;IF(OPTIMIZER!J8="HIGH","Ship now.",IF(OPTIMIZER!J8="MEDIUM","Test first.","Pilot small — using prior.")))</f>
        <v>Small raise. Signature role in Dog quadrant — protect intentionally. Pilot small — using prior.</v>
      </c>
    </row>
    <row r="14" customFormat="false" ht="15" hidden="false" customHeight="true" outlineLevel="0" collapsed="false">
      <c r="A14" s="41" t="str">
        <f aca="false">IF(OPTIMIZER!B9="","",OPTIMIZER!B9)</f>
        <v>Avocado Toast</v>
      </c>
      <c r="B14" s="15" t="str">
        <f aca="false">IF(OPTIMIZER!B9="","",IF(ABS(OPTIMIZER!U9)&lt;0.005,"Hold",IF(OPTIMIZER!U9&gt;0,"Raise","Cut")))</f>
        <v>Raise</v>
      </c>
      <c r="C14" s="42" t="n">
        <f aca="false">IF(OPTIMIZER!B9="","",OPTIMIZER!F9)</f>
        <v>10.5</v>
      </c>
      <c r="D14" s="42" t="n">
        <f aca="false">IF(OPTIMIZER!B9="","",OPTIMIZER!T9)</f>
        <v>10.7</v>
      </c>
      <c r="E14" s="43" t="n">
        <f aca="false">IF(OPTIMIZER!B9="","",OPTIMIZER!U9)</f>
        <v>0.0190476190476192</v>
      </c>
      <c r="F14" s="44" t="n">
        <f aca="false">IF(OPTIMIZER!B9="","",OPTIMIZER!X9)</f>
        <v>112.470876287173</v>
      </c>
      <c r="G14" s="45" t="str">
        <f aca="false">IF(OPTIMIZER!B9="","",OPTIMIZER!J9)</f>
        <v>LOW</v>
      </c>
      <c r="H14" s="45" t="str">
        <f aca="false">IF(OPTIMIZER!B9="","",IF(ABS(OPTIMIZER!U9)&lt;0.005,"Hold",IF(OPTIMIZER!J9="HIGH","Now","Pilot first")))</f>
        <v>Pilot first</v>
      </c>
      <c r="I14" s="1" t="str">
        <f aca="false">IF(OPTIMIZER!B9="","",MENU_ENGINEERING!K13)</f>
        <v>Plowhorse</v>
      </c>
      <c r="J14" s="1" t="str">
        <f aca="false">IF(OPTIMIZER!B9="","",COMPETITOR_BENCHMARK!K12)</f>
        <v>No comp data</v>
      </c>
      <c r="K14" s="1" t="str">
        <f aca="false">IF(OPTIMIZER!B9="","",IF(ABS(OPTIMIZER!U9)&lt;0.005,"Hold. ",IF(OPTIMIZER!U9&gt;0,IF(OPTIMIZER!U9&lt;0.02,"Small raise. ",IF(OPTIMIZER!U9&lt;0.05,"Modest raise. ","Notable raise. ")),IF(OPTIMIZER!U9&gt;-0.02,"Small cut. ",IF(OPTIMIZER!U9&gt;-0.05,"Modest cut. ","Notable cut. "))))&amp;IF(OPTIMIZER!D9="Traffic Driver","Traffic Driver — protect entry price. ",IF(AND(OR(OPTIMIZER!D9="Signature",OPTIMIZER!D9="Premium Anchor"),MENU_ENGINEERING!K13="Dog"),OPTIMIZER!D9&amp;" role in Dog quadrant — protect intentionally. ",IF(MENU_ENGINEERING!K13="Star","Star — protect leadership. ",IF(MENU_ENGINEERING!K13="Plowhorse","Plowhorse — capture margin. ",IF(MENU_ENGINEERING!K13="Puzzle","Puzzle — promote or reposition. ",IF(MENU_ENGINEERING!K13="Dog","Dog — consider removal. ",""))))))&amp;IF(OPTIMIZER!J9="HIGH","Ship now.",IF(OPTIMIZER!J9="MEDIUM","Test first.","Pilot small — using prior.")))</f>
        <v>Small raise. Plowhorse — capture margin. Pilot small — using prior.</v>
      </c>
    </row>
    <row r="15" customFormat="false" ht="15" hidden="false" customHeight="true" outlineLevel="0" collapsed="false">
      <c r="A15" s="41" t="str">
        <f aca="false">IF(OPTIMIZER!B10="","",OPTIMIZER!B10)</f>
        <v>Pancakes</v>
      </c>
      <c r="B15" s="15" t="str">
        <f aca="false">IF(OPTIMIZER!B10="","",IF(ABS(OPTIMIZER!U10)&lt;0.005,"Hold",IF(OPTIMIZER!U10&gt;0,"Raise","Cut")))</f>
        <v>Raise</v>
      </c>
      <c r="C15" s="42" t="n">
        <f aca="false">IF(OPTIMIZER!B10="","",OPTIMIZER!F10)</f>
        <v>8.8</v>
      </c>
      <c r="D15" s="42" t="n">
        <f aca="false">IF(OPTIMIZER!B10="","",OPTIMIZER!T10)</f>
        <v>9.2</v>
      </c>
      <c r="E15" s="43" t="n">
        <f aca="false">IF(OPTIMIZER!B10="","",OPTIMIZER!U10)</f>
        <v>0.0454545454545454</v>
      </c>
      <c r="F15" s="44" t="n">
        <f aca="false">IF(OPTIMIZER!B10="","",OPTIMIZER!X10)</f>
        <v>132.347800005801</v>
      </c>
      <c r="G15" s="45" t="str">
        <f aca="false">IF(OPTIMIZER!B10="","",OPTIMIZER!J10)</f>
        <v>LOW</v>
      </c>
      <c r="H15" s="45" t="str">
        <f aca="false">IF(OPTIMIZER!B10="","",IF(ABS(OPTIMIZER!U10)&lt;0.005,"Hold",IF(OPTIMIZER!J10="HIGH","Now","Pilot first")))</f>
        <v>Pilot first</v>
      </c>
      <c r="I15" s="1" t="str">
        <f aca="false">IF(OPTIMIZER!B10="","",MENU_ENGINEERING!K14)</f>
        <v>Dog</v>
      </c>
      <c r="J15" s="1" t="str">
        <f aca="false">IF(OPTIMIZER!B10="","",COMPETITOR_BENCHMARK!K13)</f>
        <v>No comp data</v>
      </c>
      <c r="K15" s="1" t="str">
        <f aca="false">IF(OPTIMIZER!B10="","",IF(ABS(OPTIMIZER!U10)&lt;0.005,"Hold. ",IF(OPTIMIZER!U10&gt;0,IF(OPTIMIZER!U10&lt;0.02,"Small raise. ",IF(OPTIMIZER!U10&lt;0.05,"Modest raise. ","Notable raise. ")),IF(OPTIMIZER!U10&gt;-0.02,"Small cut. ",IF(OPTIMIZER!U10&gt;-0.05,"Modest cut. ","Notable cut. "))))&amp;IF(OPTIMIZER!D10="Traffic Driver","Traffic Driver — protect entry price. ",IF(AND(OR(OPTIMIZER!D10="Signature",OPTIMIZER!D10="Premium Anchor"),MENU_ENGINEERING!K14="Dog"),OPTIMIZER!D10&amp;" role in Dog quadrant — protect intentionally. ",IF(MENU_ENGINEERING!K14="Star","Star — protect leadership. ",IF(MENU_ENGINEERING!K14="Plowhorse","Plowhorse — capture margin. ",IF(MENU_ENGINEERING!K14="Puzzle","Puzzle — promote or reposition. ",IF(MENU_ENGINEERING!K14="Dog","Dog — consider removal. ",""))))))&amp;IF(OPTIMIZER!J10="HIGH","Ship now.",IF(OPTIMIZER!J10="MEDIUM","Test first.","Pilot small — using prior.")))</f>
        <v>Modest raise. Premium Anchor role in Dog quadrant — protect intentionally. Pilot small — using prior.</v>
      </c>
    </row>
    <row r="16" customFormat="false" ht="15" hidden="false" customHeight="true" outlineLevel="0" collapsed="false">
      <c r="A16" s="41" t="str">
        <f aca="false">IF(OPTIMIZER!B11="","",OPTIMIZER!B11)</f>
        <v>Cheesecake</v>
      </c>
      <c r="B16" s="15" t="str">
        <f aca="false">IF(OPTIMIZER!B11="","",IF(ABS(OPTIMIZER!U11)&lt;0.005,"Hold",IF(OPTIMIZER!U11&gt;0,"Raise","Cut")))</f>
        <v>Raise</v>
      </c>
      <c r="C16" s="42" t="n">
        <f aca="false">IF(OPTIMIZER!B11="","",OPTIMIZER!F11)</f>
        <v>5.8</v>
      </c>
      <c r="D16" s="42" t="n">
        <f aca="false">IF(OPTIMIZER!B11="","",OPTIMIZER!T11)</f>
        <v>6.1</v>
      </c>
      <c r="E16" s="43" t="n">
        <f aca="false">IF(OPTIMIZER!B11="","",OPTIMIZER!U11)</f>
        <v>0.0517241379310347</v>
      </c>
      <c r="F16" s="44" t="n">
        <f aca="false">IF(OPTIMIZER!B11="","",OPTIMIZER!X11)</f>
        <v>46.4754098360654</v>
      </c>
      <c r="G16" s="45" t="str">
        <f aca="false">IF(OPTIMIZER!B11="","",OPTIMIZER!J11)</f>
        <v>LOW</v>
      </c>
      <c r="H16" s="45" t="str">
        <f aca="false">IF(OPTIMIZER!B11="","",IF(ABS(OPTIMIZER!U11)&lt;0.005,"Hold",IF(OPTIMIZER!J11="HIGH","Now","Pilot first")))</f>
        <v>Pilot first</v>
      </c>
      <c r="I16" s="1" t="str">
        <f aca="false">IF(OPTIMIZER!B11="","",MENU_ENGINEERING!K15)</f>
        <v>Puzzle</v>
      </c>
      <c r="J16" s="1" t="str">
        <f aca="false">IF(OPTIMIZER!B11="","",COMPETITOR_BENCHMARK!K14)</f>
        <v>No comp data</v>
      </c>
      <c r="K16" s="1" t="str">
        <f aca="false">IF(OPTIMIZER!B11="","",IF(ABS(OPTIMIZER!U11)&lt;0.005,"Hold. ",IF(OPTIMIZER!U11&gt;0,IF(OPTIMIZER!U11&lt;0.02,"Small raise. ",IF(OPTIMIZER!U11&lt;0.05,"Modest raise. ","Notable raise. ")),IF(OPTIMIZER!U11&gt;-0.02,"Small cut. ",IF(OPTIMIZER!U11&gt;-0.05,"Modest cut. ","Notable cut. "))))&amp;IF(OPTIMIZER!D11="Traffic Driver","Traffic Driver — protect entry price. ",IF(AND(OR(OPTIMIZER!D11="Signature",OPTIMIZER!D11="Premium Anchor"),MENU_ENGINEERING!K15="Dog"),OPTIMIZER!D11&amp;" role in Dog quadrant — protect intentionally. ",IF(MENU_ENGINEERING!K15="Star","Star — protect leadership. ",IF(MENU_ENGINEERING!K15="Plowhorse","Plowhorse — capture margin. ",IF(MENU_ENGINEERING!K15="Puzzle","Puzzle — promote or reposition. ",IF(MENU_ENGINEERING!K15="Dog","Dog — consider removal. ",""))))))&amp;IF(OPTIMIZER!J11="HIGH","Ship now.",IF(OPTIMIZER!J11="MEDIUM","Test first.","Pilot small — using prior.")))</f>
        <v>Notable raise. Puzzle — promote or reposition. Pilot small — using prior.</v>
      </c>
    </row>
    <row r="17" customFormat="false" ht="15" hidden="false" customHeight="true" outlineLevel="0" collapsed="false">
      <c r="A17" s="41" t="str">
        <f aca="false">IF(OPTIMIZER!B12="","",OPTIMIZER!B12)</f>
        <v/>
      </c>
      <c r="B17" s="15" t="str">
        <f aca="false">IF(OPTIMIZER!B12="","",IF(ABS(OPTIMIZER!U12)&lt;0.005,"Hold",IF(OPTIMIZER!U12&gt;0,"Raise","Cut")))</f>
        <v/>
      </c>
      <c r="C17" s="42" t="str">
        <f aca="false">IF(OPTIMIZER!B12="","",OPTIMIZER!F12)</f>
        <v/>
      </c>
      <c r="D17" s="42" t="str">
        <f aca="false">IF(OPTIMIZER!B12="","",OPTIMIZER!T12)</f>
        <v/>
      </c>
      <c r="E17" s="43" t="str">
        <f aca="false">IF(OPTIMIZER!B12="","",OPTIMIZER!U12)</f>
        <v/>
      </c>
      <c r="F17" s="44" t="str">
        <f aca="false">IF(OPTIMIZER!B12="","",OPTIMIZER!X12)</f>
        <v/>
      </c>
      <c r="G17" s="45" t="str">
        <f aca="false">IF(OPTIMIZER!B12="","",OPTIMIZER!J12)</f>
        <v/>
      </c>
      <c r="H17" s="45" t="str">
        <f aca="false">IF(OPTIMIZER!B12="","",IF(ABS(OPTIMIZER!U12)&lt;0.005,"Hold",IF(OPTIMIZER!J12="HIGH","Now","Pilot first")))</f>
        <v/>
      </c>
      <c r="I17" s="1" t="str">
        <f aca="false">IF(OPTIMIZER!B12="","",MENU_ENGINEERING!K16)</f>
        <v/>
      </c>
      <c r="J17" s="1" t="str">
        <f aca="false">IF(OPTIMIZER!B12="","",COMPETITOR_BENCHMARK!K15)</f>
        <v/>
      </c>
      <c r="K17" s="1" t="str">
        <f aca="false">IF(OPTIMIZER!B12="","",IF(ABS(OPTIMIZER!U12)&lt;0.005,"Hold. ",IF(OPTIMIZER!U12&gt;0,IF(OPTIMIZER!U12&lt;0.02,"Small raise. ",IF(OPTIMIZER!U12&lt;0.05,"Modest raise. ","Notable raise. ")),IF(OPTIMIZER!U12&gt;-0.02,"Small cut. ",IF(OPTIMIZER!U12&gt;-0.05,"Modest cut. ","Notable cut. "))))&amp;IF(OPTIMIZER!D12="Traffic Driver","Traffic Driver — protect entry price. ",IF(AND(OR(OPTIMIZER!D12="Signature",OPTIMIZER!D12="Premium Anchor"),MENU_ENGINEERING!K16="Dog"),OPTIMIZER!D12&amp;" role in Dog quadrant — protect intentionally. ",IF(MENU_ENGINEERING!K16="Star","Star — protect leadership. ",IF(MENU_ENGINEERING!K16="Plowhorse","Plowhorse — capture margin. ",IF(MENU_ENGINEERING!K16="Puzzle","Puzzle — promote or reposition. ",IF(MENU_ENGINEERING!K16="Dog","Dog — consider removal. ",""))))))&amp;IF(OPTIMIZER!J12="HIGH","Ship now.",IF(OPTIMIZER!J12="MEDIUM","Test first.","Pilot small — using prior.")))</f>
        <v/>
      </c>
    </row>
    <row r="18" customFormat="false" ht="15" hidden="false" customHeight="true" outlineLevel="0" collapsed="false">
      <c r="A18" s="41" t="str">
        <f aca="false">IF(OPTIMIZER!B13="","",OPTIMIZER!B13)</f>
        <v/>
      </c>
      <c r="B18" s="15" t="str">
        <f aca="false">IF(OPTIMIZER!B13="","",IF(ABS(OPTIMIZER!U13)&lt;0.005,"Hold",IF(OPTIMIZER!U13&gt;0,"Raise","Cut")))</f>
        <v/>
      </c>
      <c r="C18" s="42" t="str">
        <f aca="false">IF(OPTIMIZER!B13="","",OPTIMIZER!F13)</f>
        <v/>
      </c>
      <c r="D18" s="42" t="str">
        <f aca="false">IF(OPTIMIZER!B13="","",OPTIMIZER!T13)</f>
        <v/>
      </c>
      <c r="E18" s="43" t="str">
        <f aca="false">IF(OPTIMIZER!B13="","",OPTIMIZER!U13)</f>
        <v/>
      </c>
      <c r="F18" s="44" t="str">
        <f aca="false">IF(OPTIMIZER!B13="","",OPTIMIZER!X13)</f>
        <v/>
      </c>
      <c r="G18" s="45" t="str">
        <f aca="false">IF(OPTIMIZER!B13="","",OPTIMIZER!J13)</f>
        <v/>
      </c>
      <c r="H18" s="45" t="str">
        <f aca="false">IF(OPTIMIZER!B13="","",IF(ABS(OPTIMIZER!U13)&lt;0.005,"Hold",IF(OPTIMIZER!J13="HIGH","Now","Pilot first")))</f>
        <v/>
      </c>
      <c r="I18" s="1" t="str">
        <f aca="false">IF(OPTIMIZER!B13="","",MENU_ENGINEERING!K17)</f>
        <v/>
      </c>
      <c r="J18" s="1" t="str">
        <f aca="false">IF(OPTIMIZER!B13="","",COMPETITOR_BENCHMARK!K16)</f>
        <v/>
      </c>
      <c r="K18" s="1" t="str">
        <f aca="false">IF(OPTIMIZER!B13="","",IF(ABS(OPTIMIZER!U13)&lt;0.005,"Hold. ",IF(OPTIMIZER!U13&gt;0,IF(OPTIMIZER!U13&lt;0.02,"Small raise. ",IF(OPTIMIZER!U13&lt;0.05,"Modest raise. ","Notable raise. ")),IF(OPTIMIZER!U13&gt;-0.02,"Small cut. ",IF(OPTIMIZER!U13&gt;-0.05,"Modest cut. ","Notable cut. "))))&amp;IF(OPTIMIZER!D13="Traffic Driver","Traffic Driver — protect entry price. ",IF(AND(OR(OPTIMIZER!D13="Signature",OPTIMIZER!D13="Premium Anchor"),MENU_ENGINEERING!K17="Dog"),OPTIMIZER!D13&amp;" role in Dog quadrant — protect intentionally. ",IF(MENU_ENGINEERING!K17="Star","Star — protect leadership. ",IF(MENU_ENGINEERING!K17="Plowhorse","Plowhorse — capture margin. ",IF(MENU_ENGINEERING!K17="Puzzle","Puzzle — promote or reposition. ",IF(MENU_ENGINEERING!K17="Dog","Dog — consider removal. ",""))))))&amp;IF(OPTIMIZER!J13="HIGH","Ship now.",IF(OPTIMIZER!J13="MEDIUM","Test first.","Pilot small — using prior.")))</f>
        <v/>
      </c>
    </row>
    <row r="19" customFormat="false" ht="15" hidden="false" customHeight="true" outlineLevel="0" collapsed="false">
      <c r="A19" s="41" t="str">
        <f aca="false">IF(OPTIMIZER!B14="","",OPTIMIZER!B14)</f>
        <v/>
      </c>
      <c r="B19" s="15" t="str">
        <f aca="false">IF(OPTIMIZER!B14="","",IF(ABS(OPTIMIZER!U14)&lt;0.005,"Hold",IF(OPTIMIZER!U14&gt;0,"Raise","Cut")))</f>
        <v/>
      </c>
      <c r="C19" s="42" t="str">
        <f aca="false">IF(OPTIMIZER!B14="","",OPTIMIZER!F14)</f>
        <v/>
      </c>
      <c r="D19" s="42" t="str">
        <f aca="false">IF(OPTIMIZER!B14="","",OPTIMIZER!T14)</f>
        <v/>
      </c>
      <c r="E19" s="43" t="str">
        <f aca="false">IF(OPTIMIZER!B14="","",OPTIMIZER!U14)</f>
        <v/>
      </c>
      <c r="F19" s="44" t="str">
        <f aca="false">IF(OPTIMIZER!B14="","",OPTIMIZER!X14)</f>
        <v/>
      </c>
      <c r="G19" s="45" t="str">
        <f aca="false">IF(OPTIMIZER!B14="","",OPTIMIZER!J14)</f>
        <v/>
      </c>
      <c r="H19" s="45" t="str">
        <f aca="false">IF(OPTIMIZER!B14="","",IF(ABS(OPTIMIZER!U14)&lt;0.005,"Hold",IF(OPTIMIZER!J14="HIGH","Now","Pilot first")))</f>
        <v/>
      </c>
      <c r="I19" s="1" t="str">
        <f aca="false">IF(OPTIMIZER!B14="","",MENU_ENGINEERING!K18)</f>
        <v/>
      </c>
      <c r="J19" s="1" t="str">
        <f aca="false">IF(OPTIMIZER!B14="","",COMPETITOR_BENCHMARK!K17)</f>
        <v/>
      </c>
      <c r="K19" s="1" t="str">
        <f aca="false">IF(OPTIMIZER!B14="","",IF(ABS(OPTIMIZER!U14)&lt;0.005,"Hold. ",IF(OPTIMIZER!U14&gt;0,IF(OPTIMIZER!U14&lt;0.02,"Small raise. ",IF(OPTIMIZER!U14&lt;0.05,"Modest raise. ","Notable raise. ")),IF(OPTIMIZER!U14&gt;-0.02,"Small cut. ",IF(OPTIMIZER!U14&gt;-0.05,"Modest cut. ","Notable cut. "))))&amp;IF(OPTIMIZER!D14="Traffic Driver","Traffic Driver — protect entry price. ",IF(AND(OR(OPTIMIZER!D14="Signature",OPTIMIZER!D14="Premium Anchor"),MENU_ENGINEERING!K18="Dog"),OPTIMIZER!D14&amp;" role in Dog quadrant — protect intentionally. ",IF(MENU_ENGINEERING!K18="Star","Star — protect leadership. ",IF(MENU_ENGINEERING!K18="Plowhorse","Plowhorse — capture margin. ",IF(MENU_ENGINEERING!K18="Puzzle","Puzzle — promote or reposition. ",IF(MENU_ENGINEERING!K18="Dog","Dog — consider removal. ",""))))))&amp;IF(OPTIMIZER!J14="HIGH","Ship now.",IF(OPTIMIZER!J14="MEDIUM","Test first.","Pilot small — using prior.")))</f>
        <v/>
      </c>
    </row>
    <row r="20" customFormat="false" ht="15" hidden="false" customHeight="true" outlineLevel="0" collapsed="false">
      <c r="A20" s="41" t="str">
        <f aca="false">IF(OPTIMIZER!B15="","",OPTIMIZER!B15)</f>
        <v/>
      </c>
      <c r="B20" s="15" t="str">
        <f aca="false">IF(OPTIMIZER!B15="","",IF(ABS(OPTIMIZER!U15)&lt;0.005,"Hold",IF(OPTIMIZER!U15&gt;0,"Raise","Cut")))</f>
        <v/>
      </c>
      <c r="C20" s="42" t="str">
        <f aca="false">IF(OPTIMIZER!B15="","",OPTIMIZER!F15)</f>
        <v/>
      </c>
      <c r="D20" s="42" t="str">
        <f aca="false">IF(OPTIMIZER!B15="","",OPTIMIZER!T15)</f>
        <v/>
      </c>
      <c r="E20" s="43" t="str">
        <f aca="false">IF(OPTIMIZER!B15="","",OPTIMIZER!U15)</f>
        <v/>
      </c>
      <c r="F20" s="44" t="str">
        <f aca="false">IF(OPTIMIZER!B15="","",OPTIMIZER!X15)</f>
        <v/>
      </c>
      <c r="G20" s="45" t="str">
        <f aca="false">IF(OPTIMIZER!B15="","",OPTIMIZER!J15)</f>
        <v/>
      </c>
      <c r="H20" s="45" t="str">
        <f aca="false">IF(OPTIMIZER!B15="","",IF(ABS(OPTIMIZER!U15)&lt;0.005,"Hold",IF(OPTIMIZER!J15="HIGH","Now","Pilot first")))</f>
        <v/>
      </c>
      <c r="I20" s="1" t="str">
        <f aca="false">IF(OPTIMIZER!B15="","",MENU_ENGINEERING!K19)</f>
        <v/>
      </c>
      <c r="J20" s="1" t="str">
        <f aca="false">IF(OPTIMIZER!B15="","",COMPETITOR_BENCHMARK!K18)</f>
        <v/>
      </c>
      <c r="K20" s="1" t="str">
        <f aca="false">IF(OPTIMIZER!B15="","",IF(ABS(OPTIMIZER!U15)&lt;0.005,"Hold. ",IF(OPTIMIZER!U15&gt;0,IF(OPTIMIZER!U15&lt;0.02,"Small raise. ",IF(OPTIMIZER!U15&lt;0.05,"Modest raise. ","Notable raise. ")),IF(OPTIMIZER!U15&gt;-0.02,"Small cut. ",IF(OPTIMIZER!U15&gt;-0.05,"Modest cut. ","Notable cut. "))))&amp;IF(OPTIMIZER!D15="Traffic Driver","Traffic Driver — protect entry price. ",IF(AND(OR(OPTIMIZER!D15="Signature",OPTIMIZER!D15="Premium Anchor"),MENU_ENGINEERING!K19="Dog"),OPTIMIZER!D15&amp;" role in Dog quadrant — protect intentionally. ",IF(MENU_ENGINEERING!K19="Star","Star — protect leadership. ",IF(MENU_ENGINEERING!K19="Plowhorse","Plowhorse — capture margin. ",IF(MENU_ENGINEERING!K19="Puzzle","Puzzle — promote or reposition. ",IF(MENU_ENGINEERING!K19="Dog","Dog — consider removal. ",""))))))&amp;IF(OPTIMIZER!J15="HIGH","Ship now.",IF(OPTIMIZER!J15="MEDIUM","Test first.","Pilot small — using prior.")))</f>
        <v/>
      </c>
    </row>
    <row r="21" customFormat="false" ht="15" hidden="false" customHeight="true" outlineLevel="0" collapsed="false">
      <c r="A21" s="41" t="str">
        <f aca="false">IF(OPTIMIZER!B16="","",OPTIMIZER!B16)</f>
        <v/>
      </c>
      <c r="B21" s="15" t="str">
        <f aca="false">IF(OPTIMIZER!B16="","",IF(ABS(OPTIMIZER!U16)&lt;0.005,"Hold",IF(OPTIMIZER!U16&gt;0,"Raise","Cut")))</f>
        <v/>
      </c>
      <c r="C21" s="42" t="str">
        <f aca="false">IF(OPTIMIZER!B16="","",OPTIMIZER!F16)</f>
        <v/>
      </c>
      <c r="D21" s="42" t="str">
        <f aca="false">IF(OPTIMIZER!B16="","",OPTIMIZER!T16)</f>
        <v/>
      </c>
      <c r="E21" s="43" t="str">
        <f aca="false">IF(OPTIMIZER!B16="","",OPTIMIZER!U16)</f>
        <v/>
      </c>
      <c r="F21" s="44" t="str">
        <f aca="false">IF(OPTIMIZER!B16="","",OPTIMIZER!X16)</f>
        <v/>
      </c>
      <c r="G21" s="45" t="str">
        <f aca="false">IF(OPTIMIZER!B16="","",OPTIMIZER!J16)</f>
        <v/>
      </c>
      <c r="H21" s="45" t="str">
        <f aca="false">IF(OPTIMIZER!B16="","",IF(ABS(OPTIMIZER!U16)&lt;0.005,"Hold",IF(OPTIMIZER!J16="HIGH","Now","Pilot first")))</f>
        <v/>
      </c>
      <c r="I21" s="1" t="str">
        <f aca="false">IF(OPTIMIZER!B16="","",MENU_ENGINEERING!K20)</f>
        <v/>
      </c>
      <c r="J21" s="1" t="str">
        <f aca="false">IF(OPTIMIZER!B16="","",COMPETITOR_BENCHMARK!K19)</f>
        <v/>
      </c>
      <c r="K21" s="1" t="str">
        <f aca="false">IF(OPTIMIZER!B16="","",IF(ABS(OPTIMIZER!U16)&lt;0.005,"Hold. ",IF(OPTIMIZER!U16&gt;0,IF(OPTIMIZER!U16&lt;0.02,"Small raise. ",IF(OPTIMIZER!U16&lt;0.05,"Modest raise. ","Notable raise. ")),IF(OPTIMIZER!U16&gt;-0.02,"Small cut. ",IF(OPTIMIZER!U16&gt;-0.05,"Modest cut. ","Notable cut. "))))&amp;IF(OPTIMIZER!D16="Traffic Driver","Traffic Driver — protect entry price. ",IF(AND(OR(OPTIMIZER!D16="Signature",OPTIMIZER!D16="Premium Anchor"),MENU_ENGINEERING!K20="Dog"),OPTIMIZER!D16&amp;" role in Dog quadrant — protect intentionally. ",IF(MENU_ENGINEERING!K20="Star","Star — protect leadership. ",IF(MENU_ENGINEERING!K20="Plowhorse","Plowhorse — capture margin. ",IF(MENU_ENGINEERING!K20="Puzzle","Puzzle — promote or reposition. ",IF(MENU_ENGINEERING!K20="Dog","Dog — consider removal. ",""))))))&amp;IF(OPTIMIZER!J16="HIGH","Ship now.",IF(OPTIMIZER!J16="MEDIUM","Test first.","Pilot small — using prior.")))</f>
        <v/>
      </c>
    </row>
    <row r="22" customFormat="false" ht="15" hidden="false" customHeight="true" outlineLevel="0" collapsed="false">
      <c r="A22" s="41" t="str">
        <f aca="false">IF(OPTIMIZER!B17="","",OPTIMIZER!B17)</f>
        <v/>
      </c>
      <c r="B22" s="15" t="str">
        <f aca="false">IF(OPTIMIZER!B17="","",IF(ABS(OPTIMIZER!U17)&lt;0.005,"Hold",IF(OPTIMIZER!U17&gt;0,"Raise","Cut")))</f>
        <v/>
      </c>
      <c r="C22" s="42" t="str">
        <f aca="false">IF(OPTIMIZER!B17="","",OPTIMIZER!F17)</f>
        <v/>
      </c>
      <c r="D22" s="42" t="str">
        <f aca="false">IF(OPTIMIZER!B17="","",OPTIMIZER!T17)</f>
        <v/>
      </c>
      <c r="E22" s="43" t="str">
        <f aca="false">IF(OPTIMIZER!B17="","",OPTIMIZER!U17)</f>
        <v/>
      </c>
      <c r="F22" s="44" t="str">
        <f aca="false">IF(OPTIMIZER!B17="","",OPTIMIZER!X17)</f>
        <v/>
      </c>
      <c r="G22" s="45" t="str">
        <f aca="false">IF(OPTIMIZER!B17="","",OPTIMIZER!J17)</f>
        <v/>
      </c>
      <c r="H22" s="45" t="str">
        <f aca="false">IF(OPTIMIZER!B17="","",IF(ABS(OPTIMIZER!U17)&lt;0.005,"Hold",IF(OPTIMIZER!J17="HIGH","Now","Pilot first")))</f>
        <v/>
      </c>
      <c r="I22" s="1" t="str">
        <f aca="false">IF(OPTIMIZER!B17="","",MENU_ENGINEERING!K21)</f>
        <v/>
      </c>
      <c r="J22" s="1" t="str">
        <f aca="false">IF(OPTIMIZER!B17="","",COMPETITOR_BENCHMARK!K20)</f>
        <v/>
      </c>
      <c r="K22" s="1" t="str">
        <f aca="false">IF(OPTIMIZER!B17="","",IF(ABS(OPTIMIZER!U17)&lt;0.005,"Hold. ",IF(OPTIMIZER!U17&gt;0,IF(OPTIMIZER!U17&lt;0.02,"Small raise. ",IF(OPTIMIZER!U17&lt;0.05,"Modest raise. ","Notable raise. ")),IF(OPTIMIZER!U17&gt;-0.02,"Small cut. ",IF(OPTIMIZER!U17&gt;-0.05,"Modest cut. ","Notable cut. "))))&amp;IF(OPTIMIZER!D17="Traffic Driver","Traffic Driver — protect entry price. ",IF(AND(OR(OPTIMIZER!D17="Signature",OPTIMIZER!D17="Premium Anchor"),MENU_ENGINEERING!K21="Dog"),OPTIMIZER!D17&amp;" role in Dog quadrant — protect intentionally. ",IF(MENU_ENGINEERING!K21="Star","Star — protect leadership. ",IF(MENU_ENGINEERING!K21="Plowhorse","Plowhorse — capture margin. ",IF(MENU_ENGINEERING!K21="Puzzle","Puzzle — promote or reposition. ",IF(MENU_ENGINEERING!K21="Dog","Dog — consider removal. ",""))))))&amp;IF(OPTIMIZER!J17="HIGH","Ship now.",IF(OPTIMIZER!J17="MEDIUM","Test first.","Pilot small — using prior.")))</f>
        <v/>
      </c>
    </row>
    <row r="23" customFormat="false" ht="15" hidden="false" customHeight="true" outlineLevel="0" collapsed="false">
      <c r="A23" s="41" t="str">
        <f aca="false">IF(OPTIMIZER!B18="","",OPTIMIZER!B18)</f>
        <v/>
      </c>
      <c r="B23" s="15" t="str">
        <f aca="false">IF(OPTIMIZER!B18="","",IF(ABS(OPTIMIZER!U18)&lt;0.005,"Hold",IF(OPTIMIZER!U18&gt;0,"Raise","Cut")))</f>
        <v/>
      </c>
      <c r="C23" s="42" t="str">
        <f aca="false">IF(OPTIMIZER!B18="","",OPTIMIZER!F18)</f>
        <v/>
      </c>
      <c r="D23" s="42" t="str">
        <f aca="false">IF(OPTIMIZER!B18="","",OPTIMIZER!T18)</f>
        <v/>
      </c>
      <c r="E23" s="43" t="str">
        <f aca="false">IF(OPTIMIZER!B18="","",OPTIMIZER!U18)</f>
        <v/>
      </c>
      <c r="F23" s="44" t="str">
        <f aca="false">IF(OPTIMIZER!B18="","",OPTIMIZER!X18)</f>
        <v/>
      </c>
      <c r="G23" s="45" t="str">
        <f aca="false">IF(OPTIMIZER!B18="","",OPTIMIZER!J18)</f>
        <v/>
      </c>
      <c r="H23" s="45" t="str">
        <f aca="false">IF(OPTIMIZER!B18="","",IF(ABS(OPTIMIZER!U18)&lt;0.005,"Hold",IF(OPTIMIZER!J18="HIGH","Now","Pilot first")))</f>
        <v/>
      </c>
      <c r="I23" s="1" t="str">
        <f aca="false">IF(OPTIMIZER!B18="","",MENU_ENGINEERING!K22)</f>
        <v/>
      </c>
      <c r="J23" s="1" t="str">
        <f aca="false">IF(OPTIMIZER!B18="","",COMPETITOR_BENCHMARK!K21)</f>
        <v/>
      </c>
      <c r="K23" s="1" t="str">
        <f aca="false">IF(OPTIMIZER!B18="","",IF(ABS(OPTIMIZER!U18)&lt;0.005,"Hold. ",IF(OPTIMIZER!U18&gt;0,IF(OPTIMIZER!U18&lt;0.02,"Small raise. ",IF(OPTIMIZER!U18&lt;0.05,"Modest raise. ","Notable raise. ")),IF(OPTIMIZER!U18&gt;-0.02,"Small cut. ",IF(OPTIMIZER!U18&gt;-0.05,"Modest cut. ","Notable cut. "))))&amp;IF(OPTIMIZER!D18="Traffic Driver","Traffic Driver — protect entry price. ",IF(AND(OR(OPTIMIZER!D18="Signature",OPTIMIZER!D18="Premium Anchor"),MENU_ENGINEERING!K22="Dog"),OPTIMIZER!D18&amp;" role in Dog quadrant — protect intentionally. ",IF(MENU_ENGINEERING!K22="Star","Star — protect leadership. ",IF(MENU_ENGINEERING!K22="Plowhorse","Plowhorse — capture margin. ",IF(MENU_ENGINEERING!K22="Puzzle","Puzzle — promote or reposition. ",IF(MENU_ENGINEERING!K22="Dog","Dog — consider removal. ",""))))))&amp;IF(OPTIMIZER!J18="HIGH","Ship now.",IF(OPTIMIZER!J18="MEDIUM","Test first.","Pilot small — using prior.")))</f>
        <v/>
      </c>
    </row>
    <row r="24" customFormat="false" ht="15" hidden="false" customHeight="true" outlineLevel="0" collapsed="false">
      <c r="A24" s="41" t="str">
        <f aca="false">IF(OPTIMIZER!B19="","",OPTIMIZER!B19)</f>
        <v/>
      </c>
      <c r="B24" s="15" t="str">
        <f aca="false">IF(OPTIMIZER!B19="","",IF(ABS(OPTIMIZER!U19)&lt;0.005,"Hold",IF(OPTIMIZER!U19&gt;0,"Raise","Cut")))</f>
        <v/>
      </c>
      <c r="C24" s="42" t="str">
        <f aca="false">IF(OPTIMIZER!B19="","",OPTIMIZER!F19)</f>
        <v/>
      </c>
      <c r="D24" s="42" t="str">
        <f aca="false">IF(OPTIMIZER!B19="","",OPTIMIZER!T19)</f>
        <v/>
      </c>
      <c r="E24" s="43" t="str">
        <f aca="false">IF(OPTIMIZER!B19="","",OPTIMIZER!U19)</f>
        <v/>
      </c>
      <c r="F24" s="44" t="str">
        <f aca="false">IF(OPTIMIZER!B19="","",OPTIMIZER!X19)</f>
        <v/>
      </c>
      <c r="G24" s="45" t="str">
        <f aca="false">IF(OPTIMIZER!B19="","",OPTIMIZER!J19)</f>
        <v/>
      </c>
      <c r="H24" s="45" t="str">
        <f aca="false">IF(OPTIMIZER!B19="","",IF(ABS(OPTIMIZER!U19)&lt;0.005,"Hold",IF(OPTIMIZER!J19="HIGH","Now","Pilot first")))</f>
        <v/>
      </c>
      <c r="I24" s="1" t="str">
        <f aca="false">IF(OPTIMIZER!B19="","",MENU_ENGINEERING!K23)</f>
        <v/>
      </c>
      <c r="J24" s="1" t="str">
        <f aca="false">IF(OPTIMIZER!B19="","",COMPETITOR_BENCHMARK!K22)</f>
        <v/>
      </c>
      <c r="K24" s="1" t="str">
        <f aca="false">IF(OPTIMIZER!B19="","",IF(ABS(OPTIMIZER!U19)&lt;0.005,"Hold. ",IF(OPTIMIZER!U19&gt;0,IF(OPTIMIZER!U19&lt;0.02,"Small raise. ",IF(OPTIMIZER!U19&lt;0.05,"Modest raise. ","Notable raise. ")),IF(OPTIMIZER!U19&gt;-0.02,"Small cut. ",IF(OPTIMIZER!U19&gt;-0.05,"Modest cut. ","Notable cut. "))))&amp;IF(OPTIMIZER!D19="Traffic Driver","Traffic Driver — protect entry price. ",IF(AND(OR(OPTIMIZER!D19="Signature",OPTIMIZER!D19="Premium Anchor"),MENU_ENGINEERING!K23="Dog"),OPTIMIZER!D19&amp;" role in Dog quadrant — protect intentionally. ",IF(MENU_ENGINEERING!K23="Star","Star — protect leadership. ",IF(MENU_ENGINEERING!K23="Plowhorse","Plowhorse — capture margin. ",IF(MENU_ENGINEERING!K23="Puzzle","Puzzle — promote or reposition. ",IF(MENU_ENGINEERING!K23="Dog","Dog — consider removal. ",""))))))&amp;IF(OPTIMIZER!J19="HIGH","Ship now.",IF(OPTIMIZER!J19="MEDIUM","Test first.","Pilot small — using prior.")))</f>
        <v/>
      </c>
    </row>
    <row r="25" customFormat="false" ht="15" hidden="false" customHeight="true" outlineLevel="0" collapsed="false">
      <c r="A25" s="41" t="str">
        <f aca="false">IF(OPTIMIZER!B20="","",OPTIMIZER!B20)</f>
        <v/>
      </c>
      <c r="B25" s="15" t="str">
        <f aca="false">IF(OPTIMIZER!B20="","",IF(ABS(OPTIMIZER!U20)&lt;0.005,"Hold",IF(OPTIMIZER!U20&gt;0,"Raise","Cut")))</f>
        <v/>
      </c>
      <c r="C25" s="42" t="str">
        <f aca="false">IF(OPTIMIZER!B20="","",OPTIMIZER!F20)</f>
        <v/>
      </c>
      <c r="D25" s="42" t="str">
        <f aca="false">IF(OPTIMIZER!B20="","",OPTIMIZER!T20)</f>
        <v/>
      </c>
      <c r="E25" s="43" t="str">
        <f aca="false">IF(OPTIMIZER!B20="","",OPTIMIZER!U20)</f>
        <v/>
      </c>
      <c r="F25" s="44" t="str">
        <f aca="false">IF(OPTIMIZER!B20="","",OPTIMIZER!X20)</f>
        <v/>
      </c>
      <c r="G25" s="45" t="str">
        <f aca="false">IF(OPTIMIZER!B20="","",OPTIMIZER!J20)</f>
        <v/>
      </c>
      <c r="H25" s="45" t="str">
        <f aca="false">IF(OPTIMIZER!B20="","",IF(ABS(OPTIMIZER!U20)&lt;0.005,"Hold",IF(OPTIMIZER!J20="HIGH","Now","Pilot first")))</f>
        <v/>
      </c>
      <c r="I25" s="1" t="str">
        <f aca="false">IF(OPTIMIZER!B20="","",MENU_ENGINEERING!K24)</f>
        <v/>
      </c>
      <c r="J25" s="1" t="str">
        <f aca="false">IF(OPTIMIZER!B20="","",COMPETITOR_BENCHMARK!K23)</f>
        <v/>
      </c>
      <c r="K25" s="1" t="str">
        <f aca="false">IF(OPTIMIZER!B20="","",IF(ABS(OPTIMIZER!U20)&lt;0.005,"Hold. ",IF(OPTIMIZER!U20&gt;0,IF(OPTIMIZER!U20&lt;0.02,"Small raise. ",IF(OPTIMIZER!U20&lt;0.05,"Modest raise. ","Notable raise. ")),IF(OPTIMIZER!U20&gt;-0.02,"Small cut. ",IF(OPTIMIZER!U20&gt;-0.05,"Modest cut. ","Notable cut. "))))&amp;IF(OPTIMIZER!D20="Traffic Driver","Traffic Driver — protect entry price. ",IF(AND(OR(OPTIMIZER!D20="Signature",OPTIMIZER!D20="Premium Anchor"),MENU_ENGINEERING!K24="Dog"),OPTIMIZER!D20&amp;" role in Dog quadrant — protect intentionally. ",IF(MENU_ENGINEERING!K24="Star","Star — protect leadership. ",IF(MENU_ENGINEERING!K24="Plowhorse","Plowhorse — capture margin. ",IF(MENU_ENGINEERING!K24="Puzzle","Puzzle — promote or reposition. ",IF(MENU_ENGINEERING!K24="Dog","Dog — consider removal. ",""))))))&amp;IF(OPTIMIZER!J20="HIGH","Ship now.",IF(OPTIMIZER!J20="MEDIUM","Test first.","Pilot small — using prior.")))</f>
        <v/>
      </c>
    </row>
    <row r="26" customFormat="false" ht="15" hidden="false" customHeight="true" outlineLevel="0" collapsed="false">
      <c r="A26" s="41" t="str">
        <f aca="false">IF(OPTIMIZER!B21="","",OPTIMIZER!B21)</f>
        <v/>
      </c>
      <c r="B26" s="15" t="str">
        <f aca="false">IF(OPTIMIZER!B21="","",IF(ABS(OPTIMIZER!U21)&lt;0.005,"Hold",IF(OPTIMIZER!U21&gt;0,"Raise","Cut")))</f>
        <v/>
      </c>
      <c r="C26" s="42" t="str">
        <f aca="false">IF(OPTIMIZER!B21="","",OPTIMIZER!F21)</f>
        <v/>
      </c>
      <c r="D26" s="42" t="str">
        <f aca="false">IF(OPTIMIZER!B21="","",OPTIMIZER!T21)</f>
        <v/>
      </c>
      <c r="E26" s="43" t="str">
        <f aca="false">IF(OPTIMIZER!B21="","",OPTIMIZER!U21)</f>
        <v/>
      </c>
      <c r="F26" s="44" t="str">
        <f aca="false">IF(OPTIMIZER!B21="","",OPTIMIZER!X21)</f>
        <v/>
      </c>
      <c r="G26" s="45" t="str">
        <f aca="false">IF(OPTIMIZER!B21="","",OPTIMIZER!J21)</f>
        <v/>
      </c>
      <c r="H26" s="45" t="str">
        <f aca="false">IF(OPTIMIZER!B21="","",IF(ABS(OPTIMIZER!U21)&lt;0.005,"Hold",IF(OPTIMIZER!J21="HIGH","Now","Pilot first")))</f>
        <v/>
      </c>
      <c r="I26" s="1" t="str">
        <f aca="false">IF(OPTIMIZER!B21="","",MENU_ENGINEERING!K25)</f>
        <v/>
      </c>
      <c r="J26" s="1" t="str">
        <f aca="false">IF(OPTIMIZER!B21="","",COMPETITOR_BENCHMARK!K24)</f>
        <v/>
      </c>
      <c r="K26" s="1" t="str">
        <f aca="false">IF(OPTIMIZER!B21="","",IF(ABS(OPTIMIZER!U21)&lt;0.005,"Hold. ",IF(OPTIMIZER!U21&gt;0,IF(OPTIMIZER!U21&lt;0.02,"Small raise. ",IF(OPTIMIZER!U21&lt;0.05,"Modest raise. ","Notable raise. ")),IF(OPTIMIZER!U21&gt;-0.02,"Small cut. ",IF(OPTIMIZER!U21&gt;-0.05,"Modest cut. ","Notable cut. "))))&amp;IF(OPTIMIZER!D21="Traffic Driver","Traffic Driver — protect entry price. ",IF(AND(OR(OPTIMIZER!D21="Signature",OPTIMIZER!D21="Premium Anchor"),MENU_ENGINEERING!K25="Dog"),OPTIMIZER!D21&amp;" role in Dog quadrant — protect intentionally. ",IF(MENU_ENGINEERING!K25="Star","Star — protect leadership. ",IF(MENU_ENGINEERING!K25="Plowhorse","Plowhorse — capture margin. ",IF(MENU_ENGINEERING!K25="Puzzle","Puzzle — promote or reposition. ",IF(MENU_ENGINEERING!K25="Dog","Dog — consider removal. ",""))))))&amp;IF(OPTIMIZER!J21="HIGH","Ship now.",IF(OPTIMIZER!J21="MEDIUM","Test first.","Pilot small — using prior.")))</f>
        <v/>
      </c>
    </row>
    <row r="27" customFormat="false" ht="15" hidden="false" customHeight="true" outlineLevel="0" collapsed="false">
      <c r="A27" s="41" t="str">
        <f aca="false">IF(OPTIMIZER!B22="","",OPTIMIZER!B22)</f>
        <v/>
      </c>
      <c r="B27" s="15" t="str">
        <f aca="false">IF(OPTIMIZER!B22="","",IF(ABS(OPTIMIZER!U22)&lt;0.005,"Hold",IF(OPTIMIZER!U22&gt;0,"Raise","Cut")))</f>
        <v/>
      </c>
      <c r="C27" s="42" t="str">
        <f aca="false">IF(OPTIMIZER!B22="","",OPTIMIZER!F22)</f>
        <v/>
      </c>
      <c r="D27" s="42" t="str">
        <f aca="false">IF(OPTIMIZER!B22="","",OPTIMIZER!T22)</f>
        <v/>
      </c>
      <c r="E27" s="43" t="str">
        <f aca="false">IF(OPTIMIZER!B22="","",OPTIMIZER!U22)</f>
        <v/>
      </c>
      <c r="F27" s="44" t="str">
        <f aca="false">IF(OPTIMIZER!B22="","",OPTIMIZER!X22)</f>
        <v/>
      </c>
      <c r="G27" s="45" t="str">
        <f aca="false">IF(OPTIMIZER!B22="","",OPTIMIZER!J22)</f>
        <v/>
      </c>
      <c r="H27" s="45" t="str">
        <f aca="false">IF(OPTIMIZER!B22="","",IF(ABS(OPTIMIZER!U22)&lt;0.005,"Hold",IF(OPTIMIZER!J22="HIGH","Now","Pilot first")))</f>
        <v/>
      </c>
      <c r="I27" s="1" t="str">
        <f aca="false">IF(OPTIMIZER!B22="","",MENU_ENGINEERING!K26)</f>
        <v/>
      </c>
      <c r="J27" s="1" t="str">
        <f aca="false">IF(OPTIMIZER!B22="","",COMPETITOR_BENCHMARK!K25)</f>
        <v/>
      </c>
      <c r="K27" s="1" t="str">
        <f aca="false">IF(OPTIMIZER!B22="","",IF(ABS(OPTIMIZER!U22)&lt;0.005,"Hold. ",IF(OPTIMIZER!U22&gt;0,IF(OPTIMIZER!U22&lt;0.02,"Small raise. ",IF(OPTIMIZER!U22&lt;0.05,"Modest raise. ","Notable raise. ")),IF(OPTIMIZER!U22&gt;-0.02,"Small cut. ",IF(OPTIMIZER!U22&gt;-0.05,"Modest cut. ","Notable cut. "))))&amp;IF(OPTIMIZER!D22="Traffic Driver","Traffic Driver — protect entry price. ",IF(AND(OR(OPTIMIZER!D22="Signature",OPTIMIZER!D22="Premium Anchor"),MENU_ENGINEERING!K26="Dog"),OPTIMIZER!D22&amp;" role in Dog quadrant — protect intentionally. ",IF(MENU_ENGINEERING!K26="Star","Star — protect leadership. ",IF(MENU_ENGINEERING!K26="Plowhorse","Plowhorse — capture margin. ",IF(MENU_ENGINEERING!K26="Puzzle","Puzzle — promote or reposition. ",IF(MENU_ENGINEERING!K26="Dog","Dog — consider removal. ",""))))))&amp;IF(OPTIMIZER!J22="HIGH","Ship now.",IF(OPTIMIZER!J22="MEDIUM","Test first.","Pilot small — using prior.")))</f>
        <v/>
      </c>
    </row>
    <row r="28" customFormat="false" ht="15" hidden="false" customHeight="true" outlineLevel="0" collapsed="false">
      <c r="A28" s="41" t="str">
        <f aca="false">IF(OPTIMIZER!B23="","",OPTIMIZER!B23)</f>
        <v/>
      </c>
      <c r="B28" s="15" t="str">
        <f aca="false">IF(OPTIMIZER!B23="","",IF(ABS(OPTIMIZER!U23)&lt;0.005,"Hold",IF(OPTIMIZER!U23&gt;0,"Raise","Cut")))</f>
        <v/>
      </c>
      <c r="C28" s="42" t="str">
        <f aca="false">IF(OPTIMIZER!B23="","",OPTIMIZER!F23)</f>
        <v/>
      </c>
      <c r="D28" s="42" t="str">
        <f aca="false">IF(OPTIMIZER!B23="","",OPTIMIZER!T23)</f>
        <v/>
      </c>
      <c r="E28" s="43" t="str">
        <f aca="false">IF(OPTIMIZER!B23="","",OPTIMIZER!U23)</f>
        <v/>
      </c>
      <c r="F28" s="44" t="str">
        <f aca="false">IF(OPTIMIZER!B23="","",OPTIMIZER!X23)</f>
        <v/>
      </c>
      <c r="G28" s="45" t="str">
        <f aca="false">IF(OPTIMIZER!B23="","",OPTIMIZER!J23)</f>
        <v/>
      </c>
      <c r="H28" s="45" t="str">
        <f aca="false">IF(OPTIMIZER!B23="","",IF(ABS(OPTIMIZER!U23)&lt;0.005,"Hold",IF(OPTIMIZER!J23="HIGH","Now","Pilot first")))</f>
        <v/>
      </c>
      <c r="I28" s="1" t="str">
        <f aca="false">IF(OPTIMIZER!B23="","",MENU_ENGINEERING!K27)</f>
        <v/>
      </c>
      <c r="J28" s="1" t="str">
        <f aca="false">IF(OPTIMIZER!B23="","",COMPETITOR_BENCHMARK!K26)</f>
        <v/>
      </c>
      <c r="K28" s="1" t="str">
        <f aca="false">IF(OPTIMIZER!B23="","",IF(ABS(OPTIMIZER!U23)&lt;0.005,"Hold. ",IF(OPTIMIZER!U23&gt;0,IF(OPTIMIZER!U23&lt;0.02,"Small raise. ",IF(OPTIMIZER!U23&lt;0.05,"Modest raise. ","Notable raise. ")),IF(OPTIMIZER!U23&gt;-0.02,"Small cut. ",IF(OPTIMIZER!U23&gt;-0.05,"Modest cut. ","Notable cut. "))))&amp;IF(OPTIMIZER!D23="Traffic Driver","Traffic Driver — protect entry price. ",IF(AND(OR(OPTIMIZER!D23="Signature",OPTIMIZER!D23="Premium Anchor"),MENU_ENGINEERING!K27="Dog"),OPTIMIZER!D23&amp;" role in Dog quadrant — protect intentionally. ",IF(MENU_ENGINEERING!K27="Star","Star — protect leadership. ",IF(MENU_ENGINEERING!K27="Plowhorse","Plowhorse — capture margin. ",IF(MENU_ENGINEERING!K27="Puzzle","Puzzle — promote or reposition. ",IF(MENU_ENGINEERING!K27="Dog","Dog — consider removal. ",""))))))&amp;IF(OPTIMIZER!J23="HIGH","Ship now.",IF(OPTIMIZER!J23="MEDIUM","Test first.","Pilot small — using prior.")))</f>
        <v/>
      </c>
    </row>
    <row r="29" customFormat="false" ht="15" hidden="false" customHeight="true" outlineLevel="0" collapsed="false">
      <c r="A29" s="41" t="str">
        <f aca="false">IF(OPTIMIZER!B24="","",OPTIMIZER!B24)</f>
        <v/>
      </c>
      <c r="B29" s="15" t="str">
        <f aca="false">IF(OPTIMIZER!B24="","",IF(ABS(OPTIMIZER!U24)&lt;0.005,"Hold",IF(OPTIMIZER!U24&gt;0,"Raise","Cut")))</f>
        <v/>
      </c>
      <c r="C29" s="42" t="str">
        <f aca="false">IF(OPTIMIZER!B24="","",OPTIMIZER!F24)</f>
        <v/>
      </c>
      <c r="D29" s="42" t="str">
        <f aca="false">IF(OPTIMIZER!B24="","",OPTIMIZER!T24)</f>
        <v/>
      </c>
      <c r="E29" s="43" t="str">
        <f aca="false">IF(OPTIMIZER!B24="","",OPTIMIZER!U24)</f>
        <v/>
      </c>
      <c r="F29" s="44" t="str">
        <f aca="false">IF(OPTIMIZER!B24="","",OPTIMIZER!X24)</f>
        <v/>
      </c>
      <c r="G29" s="45" t="str">
        <f aca="false">IF(OPTIMIZER!B24="","",OPTIMIZER!J24)</f>
        <v/>
      </c>
      <c r="H29" s="45" t="str">
        <f aca="false">IF(OPTIMIZER!B24="","",IF(ABS(OPTIMIZER!U24)&lt;0.005,"Hold",IF(OPTIMIZER!J24="HIGH","Now","Pilot first")))</f>
        <v/>
      </c>
      <c r="I29" s="1" t="str">
        <f aca="false">IF(OPTIMIZER!B24="","",MENU_ENGINEERING!K28)</f>
        <v/>
      </c>
      <c r="J29" s="1" t="str">
        <f aca="false">IF(OPTIMIZER!B24="","",COMPETITOR_BENCHMARK!K27)</f>
        <v/>
      </c>
      <c r="K29" s="1" t="str">
        <f aca="false">IF(OPTIMIZER!B24="","",IF(ABS(OPTIMIZER!U24)&lt;0.005,"Hold. ",IF(OPTIMIZER!U24&gt;0,IF(OPTIMIZER!U24&lt;0.02,"Small raise. ",IF(OPTIMIZER!U24&lt;0.05,"Modest raise. ","Notable raise. ")),IF(OPTIMIZER!U24&gt;-0.02,"Small cut. ",IF(OPTIMIZER!U24&gt;-0.05,"Modest cut. ","Notable cut. "))))&amp;IF(OPTIMIZER!D24="Traffic Driver","Traffic Driver — protect entry price. ",IF(AND(OR(OPTIMIZER!D24="Signature",OPTIMIZER!D24="Premium Anchor"),MENU_ENGINEERING!K28="Dog"),OPTIMIZER!D24&amp;" role in Dog quadrant — protect intentionally. ",IF(MENU_ENGINEERING!K28="Star","Star — protect leadership. ",IF(MENU_ENGINEERING!K28="Plowhorse","Plowhorse — capture margin. ",IF(MENU_ENGINEERING!K28="Puzzle","Puzzle — promote or reposition. ",IF(MENU_ENGINEERING!K28="Dog","Dog — consider removal. ",""))))))&amp;IF(OPTIMIZER!J24="HIGH","Ship now.",IF(OPTIMIZER!J24="MEDIUM","Test first.","Pilot small — using prior.")))</f>
        <v/>
      </c>
    </row>
    <row r="30" customFormat="false" ht="15" hidden="false" customHeight="true" outlineLevel="0" collapsed="false">
      <c r="A30" s="41" t="str">
        <f aca="false">IF(OPTIMIZER!B25="","",OPTIMIZER!B25)</f>
        <v/>
      </c>
      <c r="B30" s="15" t="str">
        <f aca="false">IF(OPTIMIZER!B25="","",IF(ABS(OPTIMIZER!U25)&lt;0.005,"Hold",IF(OPTIMIZER!U25&gt;0,"Raise","Cut")))</f>
        <v/>
      </c>
      <c r="C30" s="42" t="str">
        <f aca="false">IF(OPTIMIZER!B25="","",OPTIMIZER!F25)</f>
        <v/>
      </c>
      <c r="D30" s="42" t="str">
        <f aca="false">IF(OPTIMIZER!B25="","",OPTIMIZER!T25)</f>
        <v/>
      </c>
      <c r="E30" s="43" t="str">
        <f aca="false">IF(OPTIMIZER!B25="","",OPTIMIZER!U25)</f>
        <v/>
      </c>
      <c r="F30" s="44" t="str">
        <f aca="false">IF(OPTIMIZER!B25="","",OPTIMIZER!X25)</f>
        <v/>
      </c>
      <c r="G30" s="45" t="str">
        <f aca="false">IF(OPTIMIZER!B25="","",OPTIMIZER!J25)</f>
        <v/>
      </c>
      <c r="H30" s="45" t="str">
        <f aca="false">IF(OPTIMIZER!B25="","",IF(ABS(OPTIMIZER!U25)&lt;0.005,"Hold",IF(OPTIMIZER!J25="HIGH","Now","Pilot first")))</f>
        <v/>
      </c>
      <c r="I30" s="1" t="str">
        <f aca="false">IF(OPTIMIZER!B25="","",MENU_ENGINEERING!K29)</f>
        <v/>
      </c>
      <c r="J30" s="1" t="str">
        <f aca="false">IF(OPTIMIZER!B25="","",COMPETITOR_BENCHMARK!K28)</f>
        <v/>
      </c>
      <c r="K30" s="1" t="str">
        <f aca="false">IF(OPTIMIZER!B25="","",IF(ABS(OPTIMIZER!U25)&lt;0.005,"Hold. ",IF(OPTIMIZER!U25&gt;0,IF(OPTIMIZER!U25&lt;0.02,"Small raise. ",IF(OPTIMIZER!U25&lt;0.05,"Modest raise. ","Notable raise. ")),IF(OPTIMIZER!U25&gt;-0.02,"Small cut. ",IF(OPTIMIZER!U25&gt;-0.05,"Modest cut. ","Notable cut. "))))&amp;IF(OPTIMIZER!D25="Traffic Driver","Traffic Driver — protect entry price. ",IF(AND(OR(OPTIMIZER!D25="Signature",OPTIMIZER!D25="Premium Anchor"),MENU_ENGINEERING!K29="Dog"),OPTIMIZER!D25&amp;" role in Dog quadrant — protect intentionally. ",IF(MENU_ENGINEERING!K29="Star","Star — protect leadership. ",IF(MENU_ENGINEERING!K29="Plowhorse","Plowhorse — capture margin. ",IF(MENU_ENGINEERING!K29="Puzzle","Puzzle — promote or reposition. ",IF(MENU_ENGINEERING!K29="Dog","Dog — consider removal. ",""))))))&amp;IF(OPTIMIZER!J25="HIGH","Ship now.",IF(OPTIMIZER!J25="MEDIUM","Test first.","Pilot small — using prior.")))</f>
        <v/>
      </c>
    </row>
    <row r="31" customFormat="false" ht="15" hidden="false" customHeight="true" outlineLevel="0" collapsed="false">
      <c r="A31" s="41" t="str">
        <f aca="false">IF(OPTIMIZER!B26="","",OPTIMIZER!B26)</f>
        <v/>
      </c>
      <c r="B31" s="15" t="str">
        <f aca="false">IF(OPTIMIZER!B26="","",IF(ABS(OPTIMIZER!U26)&lt;0.005,"Hold",IF(OPTIMIZER!U26&gt;0,"Raise","Cut")))</f>
        <v/>
      </c>
      <c r="C31" s="42" t="str">
        <f aca="false">IF(OPTIMIZER!B26="","",OPTIMIZER!F26)</f>
        <v/>
      </c>
      <c r="D31" s="42" t="str">
        <f aca="false">IF(OPTIMIZER!B26="","",OPTIMIZER!T26)</f>
        <v/>
      </c>
      <c r="E31" s="43" t="str">
        <f aca="false">IF(OPTIMIZER!B26="","",OPTIMIZER!U26)</f>
        <v/>
      </c>
      <c r="F31" s="44" t="str">
        <f aca="false">IF(OPTIMIZER!B26="","",OPTIMIZER!X26)</f>
        <v/>
      </c>
      <c r="G31" s="45" t="str">
        <f aca="false">IF(OPTIMIZER!B26="","",OPTIMIZER!J26)</f>
        <v/>
      </c>
      <c r="H31" s="45" t="str">
        <f aca="false">IF(OPTIMIZER!B26="","",IF(ABS(OPTIMIZER!U26)&lt;0.005,"Hold",IF(OPTIMIZER!J26="HIGH","Now","Pilot first")))</f>
        <v/>
      </c>
      <c r="I31" s="1" t="str">
        <f aca="false">IF(OPTIMIZER!B26="","",MENU_ENGINEERING!K30)</f>
        <v/>
      </c>
      <c r="J31" s="1" t="str">
        <f aca="false">IF(OPTIMIZER!B26="","",COMPETITOR_BENCHMARK!K29)</f>
        <v/>
      </c>
      <c r="K31" s="1" t="str">
        <f aca="false">IF(OPTIMIZER!B26="","",IF(ABS(OPTIMIZER!U26)&lt;0.005,"Hold. ",IF(OPTIMIZER!U26&gt;0,IF(OPTIMIZER!U26&lt;0.02,"Small raise. ",IF(OPTIMIZER!U26&lt;0.05,"Modest raise. ","Notable raise. ")),IF(OPTIMIZER!U26&gt;-0.02,"Small cut. ",IF(OPTIMIZER!U26&gt;-0.05,"Modest cut. ","Notable cut. "))))&amp;IF(OPTIMIZER!D26="Traffic Driver","Traffic Driver — protect entry price. ",IF(AND(OR(OPTIMIZER!D26="Signature",OPTIMIZER!D26="Premium Anchor"),MENU_ENGINEERING!K30="Dog"),OPTIMIZER!D26&amp;" role in Dog quadrant — protect intentionally. ",IF(MENU_ENGINEERING!K30="Star","Star — protect leadership. ",IF(MENU_ENGINEERING!K30="Plowhorse","Plowhorse — capture margin. ",IF(MENU_ENGINEERING!K30="Puzzle","Puzzle — promote or reposition. ",IF(MENU_ENGINEERING!K30="Dog","Dog — consider removal. ",""))))))&amp;IF(OPTIMIZER!J26="HIGH","Ship now.",IF(OPTIMIZER!J26="MEDIUM","Test first.","Pilot small — using prior.")))</f>
        <v/>
      </c>
    </row>
    <row r="32" customFormat="false" ht="15" hidden="false" customHeight="true" outlineLevel="0" collapsed="false">
      <c r="A32" s="41" t="str">
        <f aca="false">IF(OPTIMIZER!B27="","",OPTIMIZER!B27)</f>
        <v/>
      </c>
      <c r="B32" s="15" t="str">
        <f aca="false">IF(OPTIMIZER!B27="","",IF(ABS(OPTIMIZER!U27)&lt;0.005,"Hold",IF(OPTIMIZER!U27&gt;0,"Raise","Cut")))</f>
        <v/>
      </c>
      <c r="C32" s="42" t="str">
        <f aca="false">IF(OPTIMIZER!B27="","",OPTIMIZER!F27)</f>
        <v/>
      </c>
      <c r="D32" s="42" t="str">
        <f aca="false">IF(OPTIMIZER!B27="","",OPTIMIZER!T27)</f>
        <v/>
      </c>
      <c r="E32" s="43" t="str">
        <f aca="false">IF(OPTIMIZER!B27="","",OPTIMIZER!U27)</f>
        <v/>
      </c>
      <c r="F32" s="44" t="str">
        <f aca="false">IF(OPTIMIZER!B27="","",OPTIMIZER!X27)</f>
        <v/>
      </c>
      <c r="G32" s="45" t="str">
        <f aca="false">IF(OPTIMIZER!B27="","",OPTIMIZER!J27)</f>
        <v/>
      </c>
      <c r="H32" s="45" t="str">
        <f aca="false">IF(OPTIMIZER!B27="","",IF(ABS(OPTIMIZER!U27)&lt;0.005,"Hold",IF(OPTIMIZER!J27="HIGH","Now","Pilot first")))</f>
        <v/>
      </c>
      <c r="I32" s="1" t="str">
        <f aca="false">IF(OPTIMIZER!B27="","",MENU_ENGINEERING!K31)</f>
        <v/>
      </c>
      <c r="J32" s="1" t="str">
        <f aca="false">IF(OPTIMIZER!B27="","",COMPETITOR_BENCHMARK!K30)</f>
        <v/>
      </c>
      <c r="K32" s="1" t="str">
        <f aca="false">IF(OPTIMIZER!B27="","",IF(ABS(OPTIMIZER!U27)&lt;0.005,"Hold. ",IF(OPTIMIZER!U27&gt;0,IF(OPTIMIZER!U27&lt;0.02,"Small raise. ",IF(OPTIMIZER!U27&lt;0.05,"Modest raise. ","Notable raise. ")),IF(OPTIMIZER!U27&gt;-0.02,"Small cut. ",IF(OPTIMIZER!U27&gt;-0.05,"Modest cut. ","Notable cut. "))))&amp;IF(OPTIMIZER!D27="Traffic Driver","Traffic Driver — protect entry price. ",IF(AND(OR(OPTIMIZER!D27="Signature",OPTIMIZER!D27="Premium Anchor"),MENU_ENGINEERING!K31="Dog"),OPTIMIZER!D27&amp;" role in Dog quadrant — protect intentionally. ",IF(MENU_ENGINEERING!K31="Star","Star — protect leadership. ",IF(MENU_ENGINEERING!K31="Plowhorse","Plowhorse — capture margin. ",IF(MENU_ENGINEERING!K31="Puzzle","Puzzle — promote or reposition. ",IF(MENU_ENGINEERING!K31="Dog","Dog — consider removal. ",""))))))&amp;IF(OPTIMIZER!J27="HIGH","Ship now.",IF(OPTIMIZER!J27="MEDIUM","Test first.","Pilot small — using prior.")))</f>
        <v/>
      </c>
    </row>
    <row r="33" customFormat="false" ht="15" hidden="false" customHeight="true" outlineLevel="0" collapsed="false">
      <c r="A33" s="41" t="str">
        <f aca="false">IF(OPTIMIZER!B28="","",OPTIMIZER!B28)</f>
        <v/>
      </c>
      <c r="B33" s="15" t="str">
        <f aca="false">IF(OPTIMIZER!B28="","",IF(ABS(OPTIMIZER!U28)&lt;0.005,"Hold",IF(OPTIMIZER!U28&gt;0,"Raise","Cut")))</f>
        <v/>
      </c>
      <c r="C33" s="42" t="str">
        <f aca="false">IF(OPTIMIZER!B28="","",OPTIMIZER!F28)</f>
        <v/>
      </c>
      <c r="D33" s="42" t="str">
        <f aca="false">IF(OPTIMIZER!B28="","",OPTIMIZER!T28)</f>
        <v/>
      </c>
      <c r="E33" s="43" t="str">
        <f aca="false">IF(OPTIMIZER!B28="","",OPTIMIZER!U28)</f>
        <v/>
      </c>
      <c r="F33" s="44" t="str">
        <f aca="false">IF(OPTIMIZER!B28="","",OPTIMIZER!X28)</f>
        <v/>
      </c>
      <c r="G33" s="45" t="str">
        <f aca="false">IF(OPTIMIZER!B28="","",OPTIMIZER!J28)</f>
        <v/>
      </c>
      <c r="H33" s="45" t="str">
        <f aca="false">IF(OPTIMIZER!B28="","",IF(ABS(OPTIMIZER!U28)&lt;0.005,"Hold",IF(OPTIMIZER!J28="HIGH","Now","Pilot first")))</f>
        <v/>
      </c>
      <c r="I33" s="1" t="str">
        <f aca="false">IF(OPTIMIZER!B28="","",MENU_ENGINEERING!K32)</f>
        <v/>
      </c>
      <c r="J33" s="1" t="str">
        <f aca="false">IF(OPTIMIZER!B28="","",COMPETITOR_BENCHMARK!K31)</f>
        <v/>
      </c>
      <c r="K33" s="1" t="str">
        <f aca="false">IF(OPTIMIZER!B28="","",IF(ABS(OPTIMIZER!U28)&lt;0.005,"Hold. ",IF(OPTIMIZER!U28&gt;0,IF(OPTIMIZER!U28&lt;0.02,"Small raise. ",IF(OPTIMIZER!U28&lt;0.05,"Modest raise. ","Notable raise. ")),IF(OPTIMIZER!U28&gt;-0.02,"Small cut. ",IF(OPTIMIZER!U28&gt;-0.05,"Modest cut. ","Notable cut. "))))&amp;IF(OPTIMIZER!D28="Traffic Driver","Traffic Driver — protect entry price. ",IF(AND(OR(OPTIMIZER!D28="Signature",OPTIMIZER!D28="Premium Anchor"),MENU_ENGINEERING!K32="Dog"),OPTIMIZER!D28&amp;" role in Dog quadrant — protect intentionally. ",IF(MENU_ENGINEERING!K32="Star","Star — protect leadership. ",IF(MENU_ENGINEERING!K32="Plowhorse","Plowhorse — capture margin. ",IF(MENU_ENGINEERING!K32="Puzzle","Puzzle — promote or reposition. ",IF(MENU_ENGINEERING!K32="Dog","Dog — consider removal. ",""))))))&amp;IF(OPTIMIZER!J28="HIGH","Ship now.",IF(OPTIMIZER!J28="MEDIUM","Test first.","Pilot small — using prior.")))</f>
        <v/>
      </c>
    </row>
    <row r="34" customFormat="false" ht="15" hidden="false" customHeight="true" outlineLevel="0" collapsed="false">
      <c r="A34" s="41" t="str">
        <f aca="false">IF(OPTIMIZER!B29="","",OPTIMIZER!B29)</f>
        <v/>
      </c>
      <c r="B34" s="15" t="str">
        <f aca="false">IF(OPTIMIZER!B29="","",IF(ABS(OPTIMIZER!U29)&lt;0.005,"Hold",IF(OPTIMIZER!U29&gt;0,"Raise","Cut")))</f>
        <v/>
      </c>
      <c r="C34" s="42" t="str">
        <f aca="false">IF(OPTIMIZER!B29="","",OPTIMIZER!F29)</f>
        <v/>
      </c>
      <c r="D34" s="42" t="str">
        <f aca="false">IF(OPTIMIZER!B29="","",OPTIMIZER!T29)</f>
        <v/>
      </c>
      <c r="E34" s="43" t="str">
        <f aca="false">IF(OPTIMIZER!B29="","",OPTIMIZER!U29)</f>
        <v/>
      </c>
      <c r="F34" s="44" t="str">
        <f aca="false">IF(OPTIMIZER!B29="","",OPTIMIZER!X29)</f>
        <v/>
      </c>
      <c r="G34" s="45" t="str">
        <f aca="false">IF(OPTIMIZER!B29="","",OPTIMIZER!J29)</f>
        <v/>
      </c>
      <c r="H34" s="45" t="str">
        <f aca="false">IF(OPTIMIZER!B29="","",IF(ABS(OPTIMIZER!U29)&lt;0.005,"Hold",IF(OPTIMIZER!J29="HIGH","Now","Pilot first")))</f>
        <v/>
      </c>
      <c r="I34" s="1" t="str">
        <f aca="false">IF(OPTIMIZER!B29="","",MENU_ENGINEERING!K33)</f>
        <v/>
      </c>
      <c r="J34" s="1" t="str">
        <f aca="false">IF(OPTIMIZER!B29="","",COMPETITOR_BENCHMARK!K32)</f>
        <v/>
      </c>
      <c r="K34" s="1" t="str">
        <f aca="false">IF(OPTIMIZER!B29="","",IF(ABS(OPTIMIZER!U29)&lt;0.005,"Hold. ",IF(OPTIMIZER!U29&gt;0,IF(OPTIMIZER!U29&lt;0.02,"Small raise. ",IF(OPTIMIZER!U29&lt;0.05,"Modest raise. ","Notable raise. ")),IF(OPTIMIZER!U29&gt;-0.02,"Small cut. ",IF(OPTIMIZER!U29&gt;-0.05,"Modest cut. ","Notable cut. "))))&amp;IF(OPTIMIZER!D29="Traffic Driver","Traffic Driver — protect entry price. ",IF(AND(OR(OPTIMIZER!D29="Signature",OPTIMIZER!D29="Premium Anchor"),MENU_ENGINEERING!K33="Dog"),OPTIMIZER!D29&amp;" role in Dog quadrant — protect intentionally. ",IF(MENU_ENGINEERING!K33="Star","Star — protect leadership. ",IF(MENU_ENGINEERING!K33="Plowhorse","Plowhorse — capture margin. ",IF(MENU_ENGINEERING!K33="Puzzle","Puzzle — promote or reposition. ",IF(MENU_ENGINEERING!K33="Dog","Dog — consider removal. ",""))))))&amp;IF(OPTIMIZER!J29="HIGH","Ship now.",IF(OPTIMIZER!J29="MEDIUM","Test first.","Pilot small — using prior.")))</f>
        <v/>
      </c>
    </row>
    <row r="35" customFormat="false" ht="15" hidden="false" customHeight="true" outlineLevel="0" collapsed="false">
      <c r="A35" s="41" t="str">
        <f aca="false">IF(OPTIMIZER!B30="","",OPTIMIZER!B30)</f>
        <v/>
      </c>
      <c r="B35" s="15" t="str">
        <f aca="false">IF(OPTIMIZER!B30="","",IF(ABS(OPTIMIZER!U30)&lt;0.005,"Hold",IF(OPTIMIZER!U30&gt;0,"Raise","Cut")))</f>
        <v/>
      </c>
      <c r="C35" s="42" t="str">
        <f aca="false">IF(OPTIMIZER!B30="","",OPTIMIZER!F30)</f>
        <v/>
      </c>
      <c r="D35" s="42" t="str">
        <f aca="false">IF(OPTIMIZER!B30="","",OPTIMIZER!T30)</f>
        <v/>
      </c>
      <c r="E35" s="43" t="str">
        <f aca="false">IF(OPTIMIZER!B30="","",OPTIMIZER!U30)</f>
        <v/>
      </c>
      <c r="F35" s="44" t="str">
        <f aca="false">IF(OPTIMIZER!B30="","",OPTIMIZER!X30)</f>
        <v/>
      </c>
      <c r="G35" s="45" t="str">
        <f aca="false">IF(OPTIMIZER!B30="","",OPTIMIZER!J30)</f>
        <v/>
      </c>
      <c r="H35" s="45" t="str">
        <f aca="false">IF(OPTIMIZER!B30="","",IF(ABS(OPTIMIZER!U30)&lt;0.005,"Hold",IF(OPTIMIZER!J30="HIGH","Now","Pilot first")))</f>
        <v/>
      </c>
      <c r="I35" s="1" t="str">
        <f aca="false">IF(OPTIMIZER!B30="","",MENU_ENGINEERING!K34)</f>
        <v/>
      </c>
      <c r="J35" s="1" t="str">
        <f aca="false">IF(OPTIMIZER!B30="","",COMPETITOR_BENCHMARK!K33)</f>
        <v/>
      </c>
      <c r="K35" s="1" t="str">
        <f aca="false">IF(OPTIMIZER!B30="","",IF(ABS(OPTIMIZER!U30)&lt;0.005,"Hold. ",IF(OPTIMIZER!U30&gt;0,IF(OPTIMIZER!U30&lt;0.02,"Small raise. ",IF(OPTIMIZER!U30&lt;0.05,"Modest raise. ","Notable raise. ")),IF(OPTIMIZER!U30&gt;-0.02,"Small cut. ",IF(OPTIMIZER!U30&gt;-0.05,"Modest cut. ","Notable cut. "))))&amp;IF(OPTIMIZER!D30="Traffic Driver","Traffic Driver — protect entry price. ",IF(AND(OR(OPTIMIZER!D30="Signature",OPTIMIZER!D30="Premium Anchor"),MENU_ENGINEERING!K34="Dog"),OPTIMIZER!D30&amp;" role in Dog quadrant — protect intentionally. ",IF(MENU_ENGINEERING!K34="Star","Star — protect leadership. ",IF(MENU_ENGINEERING!K34="Plowhorse","Plowhorse — capture margin. ",IF(MENU_ENGINEERING!K34="Puzzle","Puzzle — promote or reposition. ",IF(MENU_ENGINEERING!K34="Dog","Dog — consider removal. ",""))))))&amp;IF(OPTIMIZER!J30="HIGH","Ship now.",IF(OPTIMIZER!J30="MEDIUM","Test first.","Pilot small — using prior.")))</f>
        <v/>
      </c>
    </row>
    <row r="36" customFormat="false" ht="15" hidden="false" customHeight="true" outlineLevel="0" collapsed="false">
      <c r="A36" s="41" t="str">
        <f aca="false">IF(OPTIMIZER!B31="","",OPTIMIZER!B31)</f>
        <v/>
      </c>
      <c r="B36" s="15" t="str">
        <f aca="false">IF(OPTIMIZER!B31="","",IF(ABS(OPTIMIZER!U31)&lt;0.005,"Hold",IF(OPTIMIZER!U31&gt;0,"Raise","Cut")))</f>
        <v/>
      </c>
      <c r="C36" s="42" t="str">
        <f aca="false">IF(OPTIMIZER!B31="","",OPTIMIZER!F31)</f>
        <v/>
      </c>
      <c r="D36" s="42" t="str">
        <f aca="false">IF(OPTIMIZER!B31="","",OPTIMIZER!T31)</f>
        <v/>
      </c>
      <c r="E36" s="43" t="str">
        <f aca="false">IF(OPTIMIZER!B31="","",OPTIMIZER!U31)</f>
        <v/>
      </c>
      <c r="F36" s="44" t="str">
        <f aca="false">IF(OPTIMIZER!B31="","",OPTIMIZER!X31)</f>
        <v/>
      </c>
      <c r="G36" s="45" t="str">
        <f aca="false">IF(OPTIMIZER!B31="","",OPTIMIZER!J31)</f>
        <v/>
      </c>
      <c r="H36" s="45" t="str">
        <f aca="false">IF(OPTIMIZER!B31="","",IF(ABS(OPTIMIZER!U31)&lt;0.005,"Hold",IF(OPTIMIZER!J31="HIGH","Now","Pilot first")))</f>
        <v/>
      </c>
      <c r="I36" s="1" t="str">
        <f aca="false">IF(OPTIMIZER!B31="","",MENU_ENGINEERING!K35)</f>
        <v/>
      </c>
      <c r="J36" s="1" t="str">
        <f aca="false">IF(OPTIMIZER!B31="","",COMPETITOR_BENCHMARK!K34)</f>
        <v/>
      </c>
      <c r="K36" s="1" t="str">
        <f aca="false">IF(OPTIMIZER!B31="","",IF(ABS(OPTIMIZER!U31)&lt;0.005,"Hold. ",IF(OPTIMIZER!U31&gt;0,IF(OPTIMIZER!U31&lt;0.02,"Small raise. ",IF(OPTIMIZER!U31&lt;0.05,"Modest raise. ","Notable raise. ")),IF(OPTIMIZER!U31&gt;-0.02,"Small cut. ",IF(OPTIMIZER!U31&gt;-0.05,"Modest cut. ","Notable cut. "))))&amp;IF(OPTIMIZER!D31="Traffic Driver","Traffic Driver — protect entry price. ",IF(AND(OR(OPTIMIZER!D31="Signature",OPTIMIZER!D31="Premium Anchor"),MENU_ENGINEERING!K35="Dog"),OPTIMIZER!D31&amp;" role in Dog quadrant — protect intentionally. ",IF(MENU_ENGINEERING!K35="Star","Star — protect leadership. ",IF(MENU_ENGINEERING!K35="Plowhorse","Plowhorse — capture margin. ",IF(MENU_ENGINEERING!K35="Puzzle","Puzzle — promote or reposition. ",IF(MENU_ENGINEERING!K35="Dog","Dog — consider removal. ",""))))))&amp;IF(OPTIMIZER!J31="HIGH","Ship now.",IF(OPTIMIZER!J31="MEDIUM","Test first.","Pilot small — using prior.")))</f>
        <v/>
      </c>
    </row>
    <row r="37" customFormat="false" ht="15" hidden="false" customHeight="true" outlineLevel="0" collapsed="false">
      <c r="A37" s="41" t="str">
        <f aca="false">IF(OPTIMIZER!B32="","",OPTIMIZER!B32)</f>
        <v/>
      </c>
      <c r="B37" s="15" t="str">
        <f aca="false">IF(OPTIMIZER!B32="","",IF(ABS(OPTIMIZER!U32)&lt;0.005,"Hold",IF(OPTIMIZER!U32&gt;0,"Raise","Cut")))</f>
        <v/>
      </c>
      <c r="C37" s="42" t="str">
        <f aca="false">IF(OPTIMIZER!B32="","",OPTIMIZER!F32)</f>
        <v/>
      </c>
      <c r="D37" s="42" t="str">
        <f aca="false">IF(OPTIMIZER!B32="","",OPTIMIZER!T32)</f>
        <v/>
      </c>
      <c r="E37" s="43" t="str">
        <f aca="false">IF(OPTIMIZER!B32="","",OPTIMIZER!U32)</f>
        <v/>
      </c>
      <c r="F37" s="44" t="str">
        <f aca="false">IF(OPTIMIZER!B32="","",OPTIMIZER!X32)</f>
        <v/>
      </c>
      <c r="G37" s="45" t="str">
        <f aca="false">IF(OPTIMIZER!B32="","",OPTIMIZER!J32)</f>
        <v/>
      </c>
      <c r="H37" s="45" t="str">
        <f aca="false">IF(OPTIMIZER!B32="","",IF(ABS(OPTIMIZER!U32)&lt;0.005,"Hold",IF(OPTIMIZER!J32="HIGH","Now","Pilot first")))</f>
        <v/>
      </c>
      <c r="I37" s="1" t="str">
        <f aca="false">IF(OPTIMIZER!B32="","",MENU_ENGINEERING!K36)</f>
        <v/>
      </c>
      <c r="J37" s="1" t="str">
        <f aca="false">IF(OPTIMIZER!B32="","",COMPETITOR_BENCHMARK!K35)</f>
        <v/>
      </c>
      <c r="K37" s="1" t="str">
        <f aca="false">IF(OPTIMIZER!B32="","",IF(ABS(OPTIMIZER!U32)&lt;0.005,"Hold. ",IF(OPTIMIZER!U32&gt;0,IF(OPTIMIZER!U32&lt;0.02,"Small raise. ",IF(OPTIMIZER!U32&lt;0.05,"Modest raise. ","Notable raise. ")),IF(OPTIMIZER!U32&gt;-0.02,"Small cut. ",IF(OPTIMIZER!U32&gt;-0.05,"Modest cut. ","Notable cut. "))))&amp;IF(OPTIMIZER!D32="Traffic Driver","Traffic Driver — protect entry price. ",IF(AND(OR(OPTIMIZER!D32="Signature",OPTIMIZER!D32="Premium Anchor"),MENU_ENGINEERING!K36="Dog"),OPTIMIZER!D32&amp;" role in Dog quadrant — protect intentionally. ",IF(MENU_ENGINEERING!K36="Star","Star — protect leadership. ",IF(MENU_ENGINEERING!K36="Plowhorse","Plowhorse — capture margin. ",IF(MENU_ENGINEERING!K36="Puzzle","Puzzle — promote or reposition. ",IF(MENU_ENGINEERING!K36="Dog","Dog — consider removal. ",""))))))&amp;IF(OPTIMIZER!J32="HIGH","Ship now.",IF(OPTIMIZER!J32="MEDIUM","Test first.","Pilot small — using prior.")))</f>
        <v/>
      </c>
    </row>
    <row r="38" customFormat="false" ht="15" hidden="false" customHeight="true" outlineLevel="0" collapsed="false">
      <c r="A38" s="41" t="str">
        <f aca="false">IF(OPTIMIZER!B33="","",OPTIMIZER!B33)</f>
        <v/>
      </c>
      <c r="B38" s="15" t="str">
        <f aca="false">IF(OPTIMIZER!B33="","",IF(ABS(OPTIMIZER!U33)&lt;0.005,"Hold",IF(OPTIMIZER!U33&gt;0,"Raise","Cut")))</f>
        <v/>
      </c>
      <c r="C38" s="42" t="str">
        <f aca="false">IF(OPTIMIZER!B33="","",OPTIMIZER!F33)</f>
        <v/>
      </c>
      <c r="D38" s="42" t="str">
        <f aca="false">IF(OPTIMIZER!B33="","",OPTIMIZER!T33)</f>
        <v/>
      </c>
      <c r="E38" s="43" t="str">
        <f aca="false">IF(OPTIMIZER!B33="","",OPTIMIZER!U33)</f>
        <v/>
      </c>
      <c r="F38" s="44" t="str">
        <f aca="false">IF(OPTIMIZER!B33="","",OPTIMIZER!X33)</f>
        <v/>
      </c>
      <c r="G38" s="45" t="str">
        <f aca="false">IF(OPTIMIZER!B33="","",OPTIMIZER!J33)</f>
        <v/>
      </c>
      <c r="H38" s="45" t="str">
        <f aca="false">IF(OPTIMIZER!B33="","",IF(ABS(OPTIMIZER!U33)&lt;0.005,"Hold",IF(OPTIMIZER!J33="HIGH","Now","Pilot first")))</f>
        <v/>
      </c>
      <c r="I38" s="1" t="str">
        <f aca="false">IF(OPTIMIZER!B33="","",MENU_ENGINEERING!K37)</f>
        <v/>
      </c>
      <c r="J38" s="1" t="str">
        <f aca="false">IF(OPTIMIZER!B33="","",COMPETITOR_BENCHMARK!K36)</f>
        <v/>
      </c>
      <c r="K38" s="1" t="str">
        <f aca="false">IF(OPTIMIZER!B33="","",IF(ABS(OPTIMIZER!U33)&lt;0.005,"Hold. ",IF(OPTIMIZER!U33&gt;0,IF(OPTIMIZER!U33&lt;0.02,"Small raise. ",IF(OPTIMIZER!U33&lt;0.05,"Modest raise. ","Notable raise. ")),IF(OPTIMIZER!U33&gt;-0.02,"Small cut. ",IF(OPTIMIZER!U33&gt;-0.05,"Modest cut. ","Notable cut. "))))&amp;IF(OPTIMIZER!D33="Traffic Driver","Traffic Driver — protect entry price. ",IF(AND(OR(OPTIMIZER!D33="Signature",OPTIMIZER!D33="Premium Anchor"),MENU_ENGINEERING!K37="Dog"),OPTIMIZER!D33&amp;" role in Dog quadrant — protect intentionally. ",IF(MENU_ENGINEERING!K37="Star","Star — protect leadership. ",IF(MENU_ENGINEERING!K37="Plowhorse","Plowhorse — capture margin. ",IF(MENU_ENGINEERING!K37="Puzzle","Puzzle — promote or reposition. ",IF(MENU_ENGINEERING!K37="Dog","Dog — consider removal. ",""))))))&amp;IF(OPTIMIZER!J33="HIGH","Ship now.",IF(OPTIMIZER!J33="MEDIUM","Test first.","Pilot small — using prior.")))</f>
        <v/>
      </c>
    </row>
    <row r="39" customFormat="false" ht="15" hidden="false" customHeight="true" outlineLevel="0" collapsed="false">
      <c r="A39" s="41" t="str">
        <f aca="false">IF(OPTIMIZER!B34="","",OPTIMIZER!B34)</f>
        <v/>
      </c>
      <c r="B39" s="15" t="str">
        <f aca="false">IF(OPTIMIZER!B34="","",IF(ABS(OPTIMIZER!U34)&lt;0.005,"Hold",IF(OPTIMIZER!U34&gt;0,"Raise","Cut")))</f>
        <v/>
      </c>
      <c r="C39" s="42" t="str">
        <f aca="false">IF(OPTIMIZER!B34="","",OPTIMIZER!F34)</f>
        <v/>
      </c>
      <c r="D39" s="42" t="str">
        <f aca="false">IF(OPTIMIZER!B34="","",OPTIMIZER!T34)</f>
        <v/>
      </c>
      <c r="E39" s="43" t="str">
        <f aca="false">IF(OPTIMIZER!B34="","",OPTIMIZER!U34)</f>
        <v/>
      </c>
      <c r="F39" s="44" t="str">
        <f aca="false">IF(OPTIMIZER!B34="","",OPTIMIZER!X34)</f>
        <v/>
      </c>
      <c r="G39" s="45" t="str">
        <f aca="false">IF(OPTIMIZER!B34="","",OPTIMIZER!J34)</f>
        <v/>
      </c>
      <c r="H39" s="45" t="str">
        <f aca="false">IF(OPTIMIZER!B34="","",IF(ABS(OPTIMIZER!U34)&lt;0.005,"Hold",IF(OPTIMIZER!J34="HIGH","Now","Pilot first")))</f>
        <v/>
      </c>
      <c r="I39" s="1" t="str">
        <f aca="false">IF(OPTIMIZER!B34="","",MENU_ENGINEERING!K38)</f>
        <v/>
      </c>
      <c r="J39" s="1" t="str">
        <f aca="false">IF(OPTIMIZER!B34="","",COMPETITOR_BENCHMARK!K37)</f>
        <v/>
      </c>
      <c r="K39" s="1" t="str">
        <f aca="false">IF(OPTIMIZER!B34="","",IF(ABS(OPTIMIZER!U34)&lt;0.005,"Hold. ",IF(OPTIMIZER!U34&gt;0,IF(OPTIMIZER!U34&lt;0.02,"Small raise. ",IF(OPTIMIZER!U34&lt;0.05,"Modest raise. ","Notable raise. ")),IF(OPTIMIZER!U34&gt;-0.02,"Small cut. ",IF(OPTIMIZER!U34&gt;-0.05,"Modest cut. ","Notable cut. "))))&amp;IF(OPTIMIZER!D34="Traffic Driver","Traffic Driver — protect entry price. ",IF(AND(OR(OPTIMIZER!D34="Signature",OPTIMIZER!D34="Premium Anchor"),MENU_ENGINEERING!K38="Dog"),OPTIMIZER!D34&amp;" role in Dog quadrant — protect intentionally. ",IF(MENU_ENGINEERING!K38="Star","Star — protect leadership. ",IF(MENU_ENGINEERING!K38="Plowhorse","Plowhorse — capture margin. ",IF(MENU_ENGINEERING!K38="Puzzle","Puzzle — promote or reposition. ",IF(MENU_ENGINEERING!K38="Dog","Dog — consider removal. ",""))))))&amp;IF(OPTIMIZER!J34="HIGH","Ship now.",IF(OPTIMIZER!J34="MEDIUM","Test first.","Pilot small — using prior.")))</f>
        <v/>
      </c>
    </row>
    <row r="40" customFormat="false" ht="15" hidden="false" customHeight="true" outlineLevel="0" collapsed="false">
      <c r="A40" s="41" t="str">
        <f aca="false">IF(OPTIMIZER!B35="","",OPTIMIZER!B35)</f>
        <v/>
      </c>
      <c r="B40" s="15" t="str">
        <f aca="false">IF(OPTIMIZER!B35="","",IF(ABS(OPTIMIZER!U35)&lt;0.005,"Hold",IF(OPTIMIZER!U35&gt;0,"Raise","Cut")))</f>
        <v/>
      </c>
      <c r="C40" s="42" t="str">
        <f aca="false">IF(OPTIMIZER!B35="","",OPTIMIZER!F35)</f>
        <v/>
      </c>
      <c r="D40" s="42" t="str">
        <f aca="false">IF(OPTIMIZER!B35="","",OPTIMIZER!T35)</f>
        <v/>
      </c>
      <c r="E40" s="43" t="str">
        <f aca="false">IF(OPTIMIZER!B35="","",OPTIMIZER!U35)</f>
        <v/>
      </c>
      <c r="F40" s="44" t="str">
        <f aca="false">IF(OPTIMIZER!B35="","",OPTIMIZER!X35)</f>
        <v/>
      </c>
      <c r="G40" s="45" t="str">
        <f aca="false">IF(OPTIMIZER!B35="","",OPTIMIZER!J35)</f>
        <v/>
      </c>
      <c r="H40" s="45" t="str">
        <f aca="false">IF(OPTIMIZER!B35="","",IF(ABS(OPTIMIZER!U35)&lt;0.005,"Hold",IF(OPTIMIZER!J35="HIGH","Now","Pilot first")))</f>
        <v/>
      </c>
      <c r="I40" s="1" t="str">
        <f aca="false">IF(OPTIMIZER!B35="","",MENU_ENGINEERING!K39)</f>
        <v/>
      </c>
      <c r="J40" s="1" t="str">
        <f aca="false">IF(OPTIMIZER!B35="","",COMPETITOR_BENCHMARK!K38)</f>
        <v/>
      </c>
      <c r="K40" s="1" t="str">
        <f aca="false">IF(OPTIMIZER!B35="","",IF(ABS(OPTIMIZER!U35)&lt;0.005,"Hold. ",IF(OPTIMIZER!U35&gt;0,IF(OPTIMIZER!U35&lt;0.02,"Small raise. ",IF(OPTIMIZER!U35&lt;0.05,"Modest raise. ","Notable raise. ")),IF(OPTIMIZER!U35&gt;-0.02,"Small cut. ",IF(OPTIMIZER!U35&gt;-0.05,"Modest cut. ","Notable cut. "))))&amp;IF(OPTIMIZER!D35="Traffic Driver","Traffic Driver — protect entry price. ",IF(AND(OR(OPTIMIZER!D35="Signature",OPTIMIZER!D35="Premium Anchor"),MENU_ENGINEERING!K39="Dog"),OPTIMIZER!D35&amp;" role in Dog quadrant — protect intentionally. ",IF(MENU_ENGINEERING!K39="Star","Star — protect leadership. ",IF(MENU_ENGINEERING!K39="Plowhorse","Plowhorse — capture margin. ",IF(MENU_ENGINEERING!K39="Puzzle","Puzzle — promote or reposition. ",IF(MENU_ENGINEERING!K39="Dog","Dog — consider removal. ",""))))))&amp;IF(OPTIMIZER!J35="HIGH","Ship now.",IF(OPTIMIZER!J35="MEDIUM","Test first.","Pilot small — using prior.")))</f>
        <v/>
      </c>
    </row>
    <row r="41" customFormat="false" ht="15" hidden="false" customHeight="true" outlineLevel="0" collapsed="false">
      <c r="A41" s="46" t="s">
        <v>138</v>
      </c>
      <c r="F41" s="47" t="n">
        <f aca="false">opt_total_lift</f>
        <v>372.232045824101</v>
      </c>
    </row>
    <row r="44" customFormat="false" ht="15" hidden="false" customHeight="true" outlineLevel="0" collapsed="false">
      <c r="A44" s="40" t="s">
        <v>139</v>
      </c>
      <c r="B44" s="40"/>
      <c r="C44" s="40"/>
      <c r="D44" s="40"/>
      <c r="E44" s="40"/>
      <c r="F44" s="40"/>
      <c r="G44" s="40"/>
      <c r="H44" s="40"/>
    </row>
    <row r="45" customFormat="false" ht="31.5" hidden="false" customHeight="true" outlineLevel="0" collapsed="false">
      <c r="A45" s="9" t="s">
        <v>140</v>
      </c>
      <c r="B45" s="48" t="s">
        <v>141</v>
      </c>
      <c r="C45" s="48"/>
      <c r="D45" s="48"/>
      <c r="E45" s="48"/>
      <c r="F45" s="48"/>
      <c r="G45" s="48"/>
      <c r="H45" s="48"/>
    </row>
    <row r="46" customFormat="false" ht="31.5" hidden="false" customHeight="true" outlineLevel="0" collapsed="false">
      <c r="A46" s="9" t="s">
        <v>142</v>
      </c>
      <c r="B46" s="48" t="str">
        <f aca="false">"No item moves more than "&amp;TEXT(cfg_max_raise,"+0%")&amp;" or less than "&amp;TEXT(cfg_max_cut,"0%")&amp;" — set on SETTINGS. Role-based caps are tighter for traffic-driver items."</f>
        <v>No item moves more than +10% or less than -5% — set on SETTINGS. Role-based caps are tighter for traffic-driver items.</v>
      </c>
      <c r="C46" s="48"/>
      <c r="D46" s="48"/>
      <c r="E46" s="48"/>
      <c r="F46" s="48"/>
      <c r="G46" s="48"/>
      <c r="H46" s="48"/>
    </row>
    <row r="47" customFormat="false" ht="31.5" hidden="false" customHeight="true" outlineLevel="0" collapsed="false">
      <c r="A47" s="9" t="s">
        <v>143</v>
      </c>
      <c r="B47" s="48" t="s">
        <v>144</v>
      </c>
      <c r="C47" s="48"/>
      <c r="D47" s="48"/>
      <c r="E47" s="48"/>
      <c r="F47" s="48"/>
      <c r="G47" s="48"/>
      <c r="H47" s="48"/>
    </row>
    <row r="48" customFormat="false" ht="31.5" hidden="false" customHeight="true" outlineLevel="0" collapsed="false">
      <c r="A48" s="9" t="s">
        <v>145</v>
      </c>
      <c r="B48" s="48" t="s">
        <v>146</v>
      </c>
      <c r="C48" s="48"/>
      <c r="D48" s="48"/>
      <c r="E48" s="48"/>
      <c r="F48" s="48"/>
      <c r="G48" s="48"/>
      <c r="H48" s="48"/>
    </row>
    <row r="50" customFormat="false" ht="15" hidden="false" customHeight="true" outlineLevel="0" collapsed="false">
      <c r="A50" s="40" t="s">
        <v>147</v>
      </c>
      <c r="B50" s="40"/>
      <c r="C50" s="40"/>
      <c r="D50" s="40"/>
      <c r="E50" s="40"/>
      <c r="F50" s="40"/>
      <c r="G50" s="40"/>
      <c r="H50" s="40"/>
    </row>
    <row r="51" customFormat="false" ht="25.5" hidden="false" customHeight="true" outlineLevel="0" collapsed="false">
      <c r="A51" s="49" t="str">
        <f aca="false">HYPERLINK("#'OPTIMIZER'!A1","OPTIMIZER")</f>
        <v>OPTIMIZER</v>
      </c>
      <c r="B51" s="48" t="s">
        <v>148</v>
      </c>
      <c r="C51" s="48"/>
      <c r="D51" s="48"/>
      <c r="E51" s="48"/>
      <c r="F51" s="48"/>
      <c r="G51" s="48"/>
      <c r="H51" s="48"/>
    </row>
    <row r="52" customFormat="false" ht="25.5" hidden="false" customHeight="true" outlineLevel="0" collapsed="false">
      <c r="A52" s="49" t="str">
        <f aca="false">HYPERLINK("#'CALIBRATION'!A1","CALIBRATION")</f>
        <v>CALIBRATION</v>
      </c>
      <c r="B52" s="48" t="s">
        <v>149</v>
      </c>
      <c r="C52" s="48"/>
      <c r="D52" s="48"/>
      <c r="E52" s="48"/>
      <c r="F52" s="48"/>
      <c r="G52" s="48"/>
      <c r="H52" s="48"/>
    </row>
    <row r="53" customFormat="false" ht="25.5" hidden="false" customHeight="true" outlineLevel="0" collapsed="false">
      <c r="A53" s="49" t="str">
        <f aca="false">HYPERLINK("#'PSYCHOLOGY_RULES'!A1","PSYCHOLOGY_RULES")</f>
        <v>PSYCHOLOGY_RULES</v>
      </c>
      <c r="B53" s="48" t="s">
        <v>150</v>
      </c>
      <c r="C53" s="48"/>
      <c r="D53" s="48"/>
      <c r="E53" s="48"/>
      <c r="F53" s="48"/>
      <c r="G53" s="48"/>
      <c r="H53" s="48"/>
    </row>
    <row r="54" customFormat="false" ht="25.5" hidden="false" customHeight="true" outlineLevel="0" collapsed="false">
      <c r="A54" s="49" t="str">
        <f aca="false">HYPERLINK("#'CATEGORY_PRIORS'!A1","CATEGORY_PRIORS")</f>
        <v>CATEGORY_PRIORS</v>
      </c>
      <c r="B54" s="48" t="s">
        <v>151</v>
      </c>
      <c r="C54" s="48"/>
      <c r="D54" s="48"/>
      <c r="E54" s="48"/>
      <c r="F54" s="48"/>
      <c r="G54" s="48"/>
      <c r="H54" s="48"/>
    </row>
    <row r="55" customFormat="false" ht="15" hidden="false" customHeight="true" outlineLevel="0" collapsed="false">
      <c r="A55" s="6" t="str">
        <f aca="false">HYPERLINK("#'MENU_ENGINEERING'!A1","MENU_ENGINEERING")</f>
        <v>MENU_ENGINEERING</v>
      </c>
      <c r="B55" s="50" t="s">
        <v>152</v>
      </c>
      <c r="C55" s="50"/>
      <c r="D55" s="50"/>
      <c r="E55" s="50"/>
      <c r="F55" s="50"/>
      <c r="G55" s="50"/>
      <c r="H55" s="50"/>
    </row>
    <row r="56" customFormat="false" ht="15" hidden="false" customHeight="true" outlineLevel="0" collapsed="false">
      <c r="A56" s="6" t="str">
        <f aca="false">HYPERLINK("#'SENSITIVITY'!A1","SENSITIVITY")</f>
        <v>SENSITIVITY</v>
      </c>
      <c r="B56" s="50" t="s">
        <v>153</v>
      </c>
      <c r="C56" s="50"/>
      <c r="D56" s="50"/>
      <c r="E56" s="50"/>
      <c r="F56" s="50"/>
      <c r="G56" s="50"/>
      <c r="H56" s="50"/>
    </row>
    <row r="57" customFormat="false" ht="15" hidden="false" customHeight="true" outlineLevel="0" collapsed="false">
      <c r="A57" s="6" t="str">
        <f aca="false">HYPERLINK("#'COMPETITOR_BENCHMARK'!A1","COMPETITOR_BENCHMARK")</f>
        <v>COMPETITOR_BENCHMARK</v>
      </c>
      <c r="B57" s="50" t="s">
        <v>154</v>
      </c>
      <c r="C57" s="50"/>
      <c r="D57" s="50"/>
      <c r="E57" s="50"/>
      <c r="F57" s="50"/>
      <c r="G57" s="50"/>
      <c r="H57" s="50"/>
    </row>
    <row r="58" customFormat="false" ht="15" hidden="false" customHeight="true" outlineLevel="0" collapsed="false">
      <c r="A58" s="24"/>
      <c r="B58" s="51"/>
      <c r="C58" s="26"/>
    </row>
    <row r="59" customFormat="false" ht="15" hidden="false" customHeight="true" outlineLevel="0" collapsed="false">
      <c r="A59" s="24"/>
      <c r="B59" s="51"/>
      <c r="C59" s="26"/>
    </row>
    <row r="60" customFormat="false" ht="15" hidden="false" customHeight="true" outlineLevel="0" collapsed="false">
      <c r="A60" s="5" t="s">
        <v>155</v>
      </c>
      <c r="B60" s="52"/>
      <c r="C60" s="26"/>
    </row>
    <row r="61" customFormat="false" ht="15" hidden="false" customHeight="true" outlineLevel="0" collapsed="false">
      <c r="A61" s="24" t="s">
        <v>156</v>
      </c>
      <c r="B61" s="53" t="n">
        <f aca="false">SENSITIVITY!H40</f>
        <v>247.967257437968</v>
      </c>
      <c r="C61" s="26" t="s">
        <v>157</v>
      </c>
    </row>
    <row r="62" customFormat="false" ht="15" hidden="false" customHeight="true" outlineLevel="0" collapsed="false">
      <c r="A62" s="24" t="s">
        <v>158</v>
      </c>
      <c r="B62" s="53" t="n">
        <f aca="false">SENSITIVITY!I40</f>
        <v>372.232045824101</v>
      </c>
      <c r="C62" s="26" t="s">
        <v>159</v>
      </c>
    </row>
    <row r="63" customFormat="false" ht="15" hidden="false" customHeight="true" outlineLevel="0" collapsed="false">
      <c r="A63" s="24" t="s">
        <v>160</v>
      </c>
      <c r="B63" s="53" t="n">
        <f aca="false">SENSITIVITY!J40</f>
        <v>497.252554462508</v>
      </c>
      <c r="C63" s="26" t="s">
        <v>161</v>
      </c>
    </row>
    <row r="64" customFormat="false" ht="15" hidden="false" customHeight="true" outlineLevel="0" collapsed="false">
      <c r="A64" s="24" t="s">
        <v>162</v>
      </c>
      <c r="B64" s="52" t="str">
        <f aca="false">IF(AND(SENSITIVITY!H40&gt;=0,SENSITIVITY!I40&gt;=0,SENSITIVITY!J40&gt;=0),"Yes — positive across all scenarios","No — at least one scenario negative")</f>
        <v>Yes — positive across all scenarios</v>
      </c>
      <c r="C64" s="26"/>
    </row>
  </sheetData>
  <mergeCells count="29">
    <mergeCell ref="A1:H1"/>
    <mergeCell ref="A2:H2"/>
    <mergeCell ref="A3:K3"/>
    <mergeCell ref="A4:B4"/>
    <mergeCell ref="C4:D4"/>
    <mergeCell ref="E4:F4"/>
    <mergeCell ref="G4:H4"/>
    <mergeCell ref="A5:B6"/>
    <mergeCell ref="C5:D6"/>
    <mergeCell ref="E5:F6"/>
    <mergeCell ref="G5:H6"/>
    <mergeCell ref="A7:B7"/>
    <mergeCell ref="C7:D7"/>
    <mergeCell ref="E7:F7"/>
    <mergeCell ref="G7:H7"/>
    <mergeCell ref="A9:H9"/>
    <mergeCell ref="A44:H44"/>
    <mergeCell ref="B45:H45"/>
    <mergeCell ref="B46:H46"/>
    <mergeCell ref="B47:H47"/>
    <mergeCell ref="B48:H48"/>
    <mergeCell ref="A50:H50"/>
    <mergeCell ref="B51:H51"/>
    <mergeCell ref="B52:H52"/>
    <mergeCell ref="B53:H53"/>
    <mergeCell ref="B54:H54"/>
    <mergeCell ref="B55:H55"/>
    <mergeCell ref="B56:H56"/>
    <mergeCell ref="B57:H57"/>
  </mergeCells>
  <conditionalFormatting sqref="B11:B40">
    <cfRule type="expression" priority="2" aboveAverage="0" equalAverage="0" bottom="0" percent="0" rank="0" text="" dxfId="3">
      <formula>B11="Raise"</formula>
    </cfRule>
    <cfRule type="expression" priority="3" aboveAverage="0" equalAverage="0" bottom="0" percent="0" rank="0" text="" dxfId="4">
      <formula>B11="Cut"</formula>
    </cfRule>
    <cfRule type="expression" priority="4" aboveAverage="0" equalAverage="0" bottom="0" percent="0" rank="0" text="" dxfId="5">
      <formula>B11="Hold"</formula>
    </cfRule>
  </conditionalFormatting>
  <conditionalFormatting sqref="G11:G40">
    <cfRule type="expression" priority="5" aboveAverage="0" equalAverage="0" bottom="0" percent="0" rank="0" text="" dxfId="3">
      <formula>G11="HIGH"</formula>
    </cfRule>
    <cfRule type="expression" priority="6" aboveAverage="0" equalAverage="0" bottom="0" percent="0" rank="0" text="" dxfId="6">
      <formula>G11="MEDIUM"</formula>
    </cfRule>
    <cfRule type="expression" priority="7" aboveAverage="0" equalAverage="0" bottom="0" percent="0" rank="0" text="" dxfId="7">
      <formula>G11="LOW"</formula>
    </cfRule>
  </conditionalFormatting>
  <conditionalFormatting sqref="I11:I40">
    <cfRule type="expression" priority="8" aboveAverage="0" equalAverage="0" bottom="0" percent="0" rank="0" text="" dxfId="2">
      <formula>$I11="Star"</formula>
    </cfRule>
    <cfRule type="expression" priority="9" aboveAverage="0" equalAverage="0" bottom="0" percent="0" rank="0" text="" dxfId="8">
      <formula>$I11="Plowhorse"</formula>
    </cfRule>
    <cfRule type="expression" priority="10" aboveAverage="0" equalAverage="0" bottom="0" percent="0" rank="0" text="" dxfId="9">
      <formula>$I11="Puzzle"</formula>
    </cfRule>
    <cfRule type="expression" priority="11" aboveAverage="0" equalAverage="0" bottom="0" percent="0" rank="0" text="" dxfId="0">
      <formula>$I11="Dog"</formula>
    </cfRule>
  </conditionalFormatting>
  <conditionalFormatting sqref="J11:J40">
    <cfRule type="expression" priority="12" aboveAverage="0" equalAverage="0" bottom="0" percent="0" rank="0" text="" dxfId="0">
      <formula>$J11="Above market"</formula>
    </cfRule>
    <cfRule type="expression" priority="13" aboveAverage="0" equalAverage="0" bottom="0" percent="0" rank="0" text="" dxfId="1">
      <formula>$J11="Below market"</formula>
    </cfRule>
    <cfRule type="expression" priority="14" aboveAverage="0" equalAverage="0" bottom="0" percent="0" rank="0" text="" dxfId="2">
      <formula>$J11="Within market"</formula>
    </cfRule>
  </conditionalFormatting>
  <conditionalFormatting sqref="A3:K3">
    <cfRule type="expression" priority="15" aboveAverage="0" equalAverage="0" bottom="0" percent="0" rank="0" text="" dxfId="10">
      <formula>$A3&lt;&gt;""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A5A5"/>
    <pageSetUpPr fitToPage="false"/>
  </sheetPr>
  <dimension ref="A1:E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8"/>
    <col collapsed="false" customWidth="true" hidden="false" outlineLevel="0" max="3" min="3" style="1" width="16"/>
    <col collapsed="false" customWidth="true" hidden="false" outlineLevel="0" max="4" min="4" style="1" width="18"/>
    <col collapsed="false" customWidth="true" hidden="false" outlineLevel="0" max="5" min="5" style="1" width="50"/>
  </cols>
  <sheetData>
    <row r="1" customFormat="false" ht="25.5" hidden="false" customHeight="true" outlineLevel="0" collapsed="false">
      <c r="A1" s="2" t="s">
        <v>163</v>
      </c>
      <c r="B1" s="2"/>
      <c r="C1" s="2"/>
      <c r="D1" s="2"/>
      <c r="E1" s="2"/>
    </row>
    <row r="3" customFormat="false" ht="43.5" hidden="false" customHeight="true" outlineLevel="0" collapsed="false">
      <c r="A3" s="13" t="s">
        <v>164</v>
      </c>
      <c r="B3" s="13"/>
      <c r="C3" s="13"/>
      <c r="D3" s="13"/>
      <c r="E3" s="13"/>
    </row>
    <row r="5" customFormat="false" ht="15" hidden="false" customHeight="true" outlineLevel="0" collapsed="false">
      <c r="A5" s="14" t="s">
        <v>61</v>
      </c>
      <c r="B5" s="14" t="s">
        <v>165</v>
      </c>
      <c r="C5" s="14" t="s">
        <v>166</v>
      </c>
      <c r="D5" s="14" t="s">
        <v>167</v>
      </c>
      <c r="E5" s="14" t="s">
        <v>168</v>
      </c>
    </row>
    <row r="6" customFormat="false" ht="15" hidden="false" customHeight="true" outlineLevel="0" collapsed="false">
      <c r="A6" s="16" t="s">
        <v>68</v>
      </c>
      <c r="B6" s="17" t="n">
        <v>-1.1</v>
      </c>
      <c r="C6" s="16" t="s">
        <v>169</v>
      </c>
      <c r="D6" s="16" t="s">
        <v>170</v>
      </c>
      <c r="E6" s="16" t="s">
        <v>171</v>
      </c>
    </row>
    <row r="7" customFormat="false" ht="15" hidden="false" customHeight="true" outlineLevel="0" collapsed="false">
      <c r="A7" s="16" t="s">
        <v>72</v>
      </c>
      <c r="B7" s="17" t="n">
        <v>-1.3</v>
      </c>
      <c r="C7" s="16" t="s">
        <v>169</v>
      </c>
      <c r="D7" s="16" t="s">
        <v>172</v>
      </c>
      <c r="E7" s="16" t="s">
        <v>173</v>
      </c>
    </row>
    <row r="8" customFormat="false" ht="15" hidden="false" customHeight="true" outlineLevel="0" collapsed="false">
      <c r="A8" s="16" t="s">
        <v>174</v>
      </c>
      <c r="B8" s="17" t="n">
        <v>-1</v>
      </c>
      <c r="C8" s="16" t="s">
        <v>169</v>
      </c>
      <c r="D8" s="16" t="s">
        <v>170</v>
      </c>
      <c r="E8" s="16" t="s">
        <v>175</v>
      </c>
    </row>
    <row r="9" customFormat="false" ht="15" hidden="false" customHeight="true" outlineLevel="0" collapsed="false">
      <c r="A9" s="16" t="s">
        <v>82</v>
      </c>
      <c r="B9" s="17" t="n">
        <v>-0.9</v>
      </c>
      <c r="C9" s="16" t="s">
        <v>169</v>
      </c>
      <c r="D9" s="16" t="s">
        <v>176</v>
      </c>
      <c r="E9" s="16" t="s">
        <v>177</v>
      </c>
    </row>
    <row r="10" customFormat="false" ht="15" hidden="false" customHeight="true" outlineLevel="0" collapsed="false">
      <c r="A10" s="16" t="s">
        <v>85</v>
      </c>
      <c r="B10" s="17" t="n">
        <v>-1</v>
      </c>
      <c r="C10" s="16" t="s">
        <v>169</v>
      </c>
      <c r="D10" s="16" t="s">
        <v>170</v>
      </c>
      <c r="E10" s="16" t="s">
        <v>178</v>
      </c>
    </row>
    <row r="11" customFormat="false" ht="15" hidden="false" customHeight="true" outlineLevel="0" collapsed="false">
      <c r="A11" s="16" t="s">
        <v>76</v>
      </c>
      <c r="B11" s="17" t="n">
        <v>-0.8</v>
      </c>
      <c r="C11" s="16" t="s">
        <v>169</v>
      </c>
      <c r="D11" s="16" t="s">
        <v>176</v>
      </c>
      <c r="E11" s="16" t="s">
        <v>179</v>
      </c>
    </row>
    <row r="12" customFormat="false" ht="15" hidden="false" customHeight="true" outlineLevel="0" collapsed="false">
      <c r="A12" s="16" t="s">
        <v>180</v>
      </c>
      <c r="B12" s="17" t="n">
        <v>-0.95</v>
      </c>
      <c r="C12" s="16" t="s">
        <v>181</v>
      </c>
      <c r="D12" s="16" t="s">
        <v>170</v>
      </c>
      <c r="E12" s="16" t="s">
        <v>182</v>
      </c>
    </row>
    <row r="13" customFormat="false" ht="15" hidden="false" customHeight="true" outlineLevel="0" collapsed="false">
      <c r="A13" s="16" t="s">
        <v>183</v>
      </c>
      <c r="B13" s="17" t="n">
        <v>-0.7</v>
      </c>
      <c r="C13" s="16" t="s">
        <v>181</v>
      </c>
      <c r="D13" s="16" t="s">
        <v>176</v>
      </c>
      <c r="E13" s="16" t="s">
        <v>184</v>
      </c>
    </row>
    <row r="14" customFormat="false" ht="15" hidden="false" customHeight="true" outlineLevel="0" collapsed="false">
      <c r="A14" s="16" t="s">
        <v>185</v>
      </c>
      <c r="B14" s="17" t="n">
        <v>-1.1</v>
      </c>
      <c r="C14" s="16" t="s">
        <v>186</v>
      </c>
      <c r="D14" s="16" t="s">
        <v>170</v>
      </c>
      <c r="E14" s="16" t="s">
        <v>187</v>
      </c>
    </row>
  </sheetData>
  <mergeCells count="2">
    <mergeCell ref="A1:E1"/>
    <mergeCell ref="A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A5A5"/>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4"/>
    <col collapsed="false" customWidth="true" hidden="false" outlineLevel="0" max="4" min="4" style="1" width="22"/>
    <col collapsed="false" customWidth="true" hidden="false" outlineLevel="0" max="5" min="5" style="1" width="18"/>
    <col collapsed="false" customWidth="true" hidden="false" outlineLevel="0" max="6" min="6" style="1" width="38"/>
  </cols>
  <sheetData>
    <row r="1" customFormat="false" ht="25.5" hidden="false" customHeight="true" outlineLevel="0" collapsed="false">
      <c r="A1" s="2" t="s">
        <v>188</v>
      </c>
      <c r="B1" s="2"/>
      <c r="C1" s="2"/>
      <c r="D1" s="2"/>
      <c r="E1" s="2"/>
      <c r="F1" s="2"/>
    </row>
    <row r="3" customFormat="false" ht="55.5" hidden="false" customHeight="true" outlineLevel="0" collapsed="false">
      <c r="A3" s="13" t="s">
        <v>189</v>
      </c>
      <c r="B3" s="13"/>
      <c r="C3" s="13"/>
      <c r="D3" s="13"/>
      <c r="E3" s="13"/>
      <c r="F3" s="13"/>
    </row>
    <row r="5" customFormat="false" ht="15" hidden="false" customHeight="true" outlineLevel="0" collapsed="false">
      <c r="A5" s="8" t="s">
        <v>190</v>
      </c>
      <c r="B5" s="8"/>
      <c r="C5" s="8"/>
      <c r="D5" s="8"/>
      <c r="E5" s="8"/>
      <c r="F5" s="8"/>
    </row>
    <row r="6" customFormat="false" ht="90" hidden="false" customHeight="true" outlineLevel="0" collapsed="false">
      <c r="A6" s="14" t="s">
        <v>62</v>
      </c>
      <c r="B6" s="14" t="s">
        <v>191</v>
      </c>
      <c r="C6" s="14" t="s">
        <v>192</v>
      </c>
      <c r="D6" s="14" t="s">
        <v>193</v>
      </c>
      <c r="E6" s="14" t="s">
        <v>194</v>
      </c>
      <c r="F6" s="14" t="s">
        <v>195</v>
      </c>
    </row>
    <row r="7" customFormat="false" ht="34.5" hidden="false" customHeight="true" outlineLevel="0" collapsed="false">
      <c r="A7" s="16" t="s">
        <v>69</v>
      </c>
      <c r="B7" s="12" t="n">
        <v>0.03</v>
      </c>
      <c r="C7" s="12" t="n">
        <v>-0.05</v>
      </c>
      <c r="D7" s="12" t="n">
        <v>0</v>
      </c>
      <c r="E7" s="16" t="s">
        <v>196</v>
      </c>
      <c r="F7" s="16" t="s">
        <v>197</v>
      </c>
    </row>
    <row r="8" customFormat="false" ht="34.5" hidden="false" customHeight="true" outlineLevel="0" collapsed="false">
      <c r="A8" s="16" t="s">
        <v>80</v>
      </c>
      <c r="B8" s="12" t="n">
        <v>0.06</v>
      </c>
      <c r="C8" s="12" t="n">
        <v>-0.05</v>
      </c>
      <c r="D8" s="12" t="n">
        <v>0.02</v>
      </c>
      <c r="E8" s="16" t="s">
        <v>198</v>
      </c>
      <c r="F8" s="16" t="s">
        <v>199</v>
      </c>
    </row>
    <row r="9" customFormat="false" ht="34.5" hidden="false" customHeight="true" outlineLevel="0" collapsed="false">
      <c r="A9" s="16" t="s">
        <v>73</v>
      </c>
      <c r="B9" s="12" t="n">
        <v>0.1</v>
      </c>
      <c r="C9" s="12" t="n">
        <v>-0.05</v>
      </c>
      <c r="D9" s="12" t="n">
        <v>0.05</v>
      </c>
      <c r="E9" s="16" t="s">
        <v>200</v>
      </c>
      <c r="F9" s="16" t="s">
        <v>201</v>
      </c>
    </row>
    <row r="10" customFormat="false" ht="34.5" hidden="false" customHeight="true" outlineLevel="0" collapsed="false">
      <c r="A10" s="16" t="s">
        <v>83</v>
      </c>
      <c r="B10" s="12" t="n">
        <v>0.1</v>
      </c>
      <c r="C10" s="12" t="n">
        <v>-0.05</v>
      </c>
      <c r="D10" s="12" t="n">
        <v>0.05</v>
      </c>
      <c r="E10" s="16" t="s">
        <v>202</v>
      </c>
      <c r="F10" s="16" t="s">
        <v>201</v>
      </c>
    </row>
    <row r="11" customFormat="false" ht="34.5" hidden="false" customHeight="true" outlineLevel="0" collapsed="false">
      <c r="A11" s="16" t="s">
        <v>77</v>
      </c>
      <c r="B11" s="12" t="n">
        <v>0.1</v>
      </c>
      <c r="C11" s="12" t="n">
        <v>-0.05</v>
      </c>
      <c r="D11" s="12" t="n">
        <v>0.05</v>
      </c>
      <c r="E11" s="16" t="s">
        <v>203</v>
      </c>
      <c r="F11" s="16" t="s">
        <v>201</v>
      </c>
    </row>
    <row r="12" customFormat="false" ht="34.5" hidden="false" customHeight="true" outlineLevel="0" collapsed="false">
      <c r="A12" s="16" t="s">
        <v>183</v>
      </c>
      <c r="B12" s="12" t="n">
        <v>0.07</v>
      </c>
      <c r="C12" s="12" t="n">
        <v>-0.05</v>
      </c>
      <c r="D12" s="12" t="n">
        <v>0.03</v>
      </c>
      <c r="E12" s="16" t="s">
        <v>204</v>
      </c>
      <c r="F12" s="16" t="s">
        <v>199</v>
      </c>
    </row>
    <row r="13" customFormat="false" ht="34.5" hidden="false" customHeight="true" outlineLevel="0" collapsed="false">
      <c r="A13" s="16" t="s">
        <v>185</v>
      </c>
      <c r="B13" s="12" t="n">
        <v>0.05</v>
      </c>
      <c r="C13" s="12" t="n">
        <v>-0.05</v>
      </c>
      <c r="D13" s="12" t="n">
        <v>0.02</v>
      </c>
      <c r="E13" s="16" t="s">
        <v>205</v>
      </c>
      <c r="F13" s="16" t="s">
        <v>199</v>
      </c>
    </row>
    <row r="16" customFormat="false" ht="15" hidden="false" customHeight="true" outlineLevel="0" collapsed="false">
      <c r="A16" s="8" t="s">
        <v>206</v>
      </c>
      <c r="B16" s="8"/>
      <c r="C16" s="8"/>
      <c r="D16" s="8"/>
      <c r="E16" s="8"/>
      <c r="F16" s="8"/>
    </row>
    <row r="17" customFormat="false" ht="37.5" hidden="false" customHeight="true" outlineLevel="0" collapsed="false">
      <c r="A17" s="13" t="s">
        <v>207</v>
      </c>
      <c r="B17" s="13"/>
      <c r="C17" s="13"/>
      <c r="D17" s="13"/>
      <c r="E17" s="13"/>
      <c r="F17" s="13"/>
    </row>
    <row r="19" customFormat="false" ht="15" hidden="false" customHeight="true" outlineLevel="0" collapsed="false">
      <c r="A19" s="14" t="s">
        <v>208</v>
      </c>
      <c r="B19" s="14" t="s">
        <v>209</v>
      </c>
      <c r="D19" s="14" t="s">
        <v>210</v>
      </c>
      <c r="E19" s="14" t="s">
        <v>211</v>
      </c>
    </row>
    <row r="20" customFormat="false" ht="15" hidden="false" customHeight="true" outlineLevel="0" collapsed="false">
      <c r="A20" s="17" t="n">
        <v>1</v>
      </c>
      <c r="B20" s="17" t="n">
        <v>0.2</v>
      </c>
      <c r="D20" s="18" t="n">
        <v>5000</v>
      </c>
      <c r="E20" s="18" t="n">
        <v>500</v>
      </c>
    </row>
    <row r="21" customFormat="false" ht="15" hidden="false" customHeight="true" outlineLevel="0" collapsed="false">
      <c r="A21" s="17" t="n">
        <v>2</v>
      </c>
      <c r="B21" s="17" t="n">
        <v>0.2</v>
      </c>
      <c r="D21" s="18" t="n">
        <v>10000</v>
      </c>
      <c r="E21" s="18" t="n">
        <v>500</v>
      </c>
    </row>
    <row r="22" customFormat="false" ht="15" hidden="false" customHeight="true" outlineLevel="0" collapsed="false">
      <c r="A22" s="17" t="n">
        <v>5</v>
      </c>
      <c r="B22" s="17" t="n">
        <v>0.2</v>
      </c>
      <c r="D22" s="18" t="n">
        <v>15000</v>
      </c>
      <c r="E22" s="18" t="n">
        <v>500</v>
      </c>
    </row>
    <row r="23" customFormat="false" ht="15" hidden="false" customHeight="true" outlineLevel="0" collapsed="false">
      <c r="A23" s="17" t="n">
        <v>10</v>
      </c>
      <c r="B23" s="17" t="n">
        <v>0.3</v>
      </c>
      <c r="D23" s="18" t="n">
        <v>25000</v>
      </c>
      <c r="E23" s="18" t="n">
        <v>1000</v>
      </c>
    </row>
    <row r="24" customFormat="false" ht="15" hidden="false" customHeight="true" outlineLevel="0" collapsed="false">
      <c r="A24" s="17" t="n">
        <v>15</v>
      </c>
      <c r="B24" s="17" t="n">
        <v>0.3</v>
      </c>
      <c r="D24" s="18" t="n">
        <v>50000</v>
      </c>
      <c r="E24" s="18" t="n">
        <v>1500</v>
      </c>
    </row>
    <row r="25" customFormat="false" ht="15" hidden="false" customHeight="true" outlineLevel="0" collapsed="false">
      <c r="A25" s="17" t="n">
        <v>20</v>
      </c>
      <c r="B25" s="17" t="n">
        <v>0.4</v>
      </c>
      <c r="D25" s="18" t="n">
        <v>75000</v>
      </c>
      <c r="E25" s="18" t="n">
        <v>2000</v>
      </c>
    </row>
    <row r="26" customFormat="false" ht="15" hidden="false" customHeight="true" outlineLevel="0" collapsed="false">
      <c r="A26" s="17" t="n">
        <v>50</v>
      </c>
      <c r="B26" s="17" t="n">
        <v>0.5</v>
      </c>
      <c r="D26" s="18" t="n">
        <v>100000</v>
      </c>
      <c r="E26" s="18" t="n">
        <v>3000</v>
      </c>
    </row>
    <row r="27" customFormat="false" ht="15" hidden="false" customHeight="true" outlineLevel="0" collapsed="false">
      <c r="A27" s="17" t="n">
        <v>100</v>
      </c>
      <c r="B27" s="17" t="n">
        <v>1</v>
      </c>
      <c r="D27" s="18" t="n">
        <v>150000</v>
      </c>
      <c r="E27" s="18" t="n">
        <v>4000</v>
      </c>
    </row>
  </sheetData>
  <mergeCells count="5">
    <mergeCell ref="A1:F1"/>
    <mergeCell ref="A3:F3"/>
    <mergeCell ref="A5:F5"/>
    <mergeCell ref="A16:F16"/>
    <mergeCell ref="A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true"/>
  </sheetPr>
  <dimension ref="A1:M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8"/>
    <col collapsed="false" customWidth="true" hidden="false" outlineLevel="0" max="3" min="3" style="1" width="16"/>
    <col collapsed="false" customWidth="true" hidden="false" outlineLevel="0" max="4" min="4" style="1" width="18"/>
    <col collapsed="false" customWidth="true" hidden="false" outlineLevel="0" max="5" min="5" style="1" width="14"/>
    <col collapsed="false" customWidth="true" hidden="false" outlineLevel="0" max="6" min="6" style="1" width="12"/>
    <col collapsed="false" customWidth="true" hidden="false" outlineLevel="0" max="7" min="7" style="1" width="14"/>
    <col collapsed="false" customWidth="true" hidden="false" outlineLevel="0" max="8" min="8" style="1" width="10"/>
    <col collapsed="false" customWidth="true" hidden="false" outlineLevel="0" max="9" min="9" style="1" width="14"/>
    <col collapsed="false" customWidth="true" hidden="false" outlineLevel="0" max="10" min="10" style="1" width="12"/>
    <col collapsed="false" customWidth="true" hidden="false" outlineLevel="0" max="11" min="11" style="1" width="14"/>
    <col collapsed="false" customWidth="true" hidden="false" outlineLevel="0" max="12" min="12" style="1" width="32"/>
    <col collapsed="false" customWidth="true" hidden="false" outlineLevel="0" max="13" min="13" style="1" width="50"/>
  </cols>
  <sheetData>
    <row r="1" customFormat="false" ht="21.75" hidden="false" customHeight="true" outlineLevel="0" collapsed="false">
      <c r="A1" s="22" t="s">
        <v>212</v>
      </c>
    </row>
    <row r="3" customFormat="false" ht="15" hidden="false" customHeight="true" outlineLevel="0" collapsed="false">
      <c r="A3" s="23" t="s">
        <v>213</v>
      </c>
      <c r="B3" s="23"/>
      <c r="C3" s="23"/>
      <c r="D3" s="23"/>
      <c r="E3" s="23"/>
      <c r="F3" s="23"/>
      <c r="G3" s="23"/>
      <c r="H3" s="23"/>
      <c r="I3" s="23"/>
      <c r="J3" s="23"/>
      <c r="K3" s="23"/>
      <c r="L3" s="23"/>
      <c r="M3" s="23"/>
    </row>
    <row r="5" customFormat="false" ht="15" hidden="false" customHeight="true" outlineLevel="0" collapsed="false">
      <c r="A5" s="24" t="s">
        <v>214</v>
      </c>
      <c r="B5" s="54" t="n">
        <f aca="false">IFERROR(MEDIAN($E$10:$E$39),0)</f>
        <v>975</v>
      </c>
      <c r="C5" s="26" t="s">
        <v>215</v>
      </c>
    </row>
    <row r="6" customFormat="false" ht="15" hidden="false" customHeight="true" outlineLevel="0" collapsed="false">
      <c r="A6" s="24" t="s">
        <v>216</v>
      </c>
      <c r="B6" s="55" t="n">
        <f aca="false">IFERROR(MEDIAN($H$10:$H$39),0)</f>
        <v>0.620101880877743</v>
      </c>
      <c r="C6" s="26" t="s">
        <v>217</v>
      </c>
    </row>
    <row r="9" customFormat="false" ht="15" hidden="false" customHeight="true" outlineLevel="0" collapsed="false">
      <c r="A9" s="27" t="s">
        <v>59</v>
      </c>
      <c r="B9" s="27" t="s">
        <v>104</v>
      </c>
      <c r="C9" s="27" t="s">
        <v>61</v>
      </c>
      <c r="D9" s="27" t="s">
        <v>62</v>
      </c>
      <c r="E9" s="27" t="s">
        <v>218</v>
      </c>
      <c r="F9" s="27" t="s">
        <v>219</v>
      </c>
      <c r="G9" s="27" t="s">
        <v>220</v>
      </c>
      <c r="H9" s="27" t="s">
        <v>221</v>
      </c>
      <c r="I9" s="27" t="s">
        <v>222</v>
      </c>
      <c r="J9" s="27" t="s">
        <v>223</v>
      </c>
      <c r="K9" s="27" t="s">
        <v>135</v>
      </c>
      <c r="L9" s="27" t="s">
        <v>128</v>
      </c>
      <c r="M9" s="27" t="s">
        <v>137</v>
      </c>
    </row>
    <row r="10" customFormat="false" ht="15" hidden="false" customHeight="true" outlineLevel="0" collapsed="false">
      <c r="A10" s="1" t="n">
        <v>1</v>
      </c>
      <c r="B10" s="1" t="str">
        <f aca="false">IF(OWNER_INPUTS!B6="","",OWNER_INPUTS!B6)</f>
        <v>Flat White</v>
      </c>
      <c r="C10" s="1" t="str">
        <f aca="false">IF($B10="","",OWNER_INPUTS!C6)</f>
        <v>Coffee</v>
      </c>
      <c r="D10" s="1" t="str">
        <f aca="false">IF($B10="","",OWNER_INPUTS!D6)</f>
        <v>Traffic Driver</v>
      </c>
      <c r="E10" s="56" t="n">
        <f aca="false">IF($B10="","",OWNER_INPUTS!G6)</f>
        <v>1500</v>
      </c>
      <c r="F10" s="30" t="n">
        <f aca="false">IF($B10="","",OWNER_INPUTS!F6-OWNER_INPUTS!E6)</f>
        <v>3.2</v>
      </c>
      <c r="G10" s="30" t="n">
        <f aca="false">IF($B10="","",$E10*$F10)</f>
        <v>4800</v>
      </c>
      <c r="H10" s="57" t="n">
        <f aca="false">IF($B10="","",IF(OWNER_INPUTS!F6&gt;0,$F10/OWNER_INPUTS!F6,0))</f>
        <v>0.761904761904762</v>
      </c>
      <c r="I10" s="1" t="str">
        <f aca="false">IF($B10="","",IF($E10&gt;=$B$5,"High","Low"))</f>
        <v>High</v>
      </c>
      <c r="J10" s="1" t="str">
        <f aca="false">IF($B10="","",IF($H10&gt;=$B$6,"High","Low"))</f>
        <v>High</v>
      </c>
      <c r="K10" s="1" t="str">
        <f aca="false">IF($B10="","",IF(AND($I10="High",$J10="High"),"Star",IF(AND($I10="High",$J10="Low"),"Plowhorse",IF(AND($I10="Low",$J10="High"),"Puzzle","Dog"))))</f>
        <v>Star</v>
      </c>
      <c r="L10" s="1" t="str">
        <f aca="false">IF($B10="","",IF($K10="Star","Hold / protect leadership",IF($K10="Plowhorse","Modest raise to capture margin",IF($K10="Puzzle","Reposition / promote / test premium","Consider removal or simplification"))))</f>
        <v>Hold / protect leadership</v>
      </c>
      <c r="M10" s="1" t="str">
        <f aca="false">IF($B10="","",$K10&amp;" ("&amp;$I10&amp;" volume, "&amp;$J10&amp;" margin). "&amp;$L10&amp;".")</f>
        <v>Star (High volume, High margin). Hold / protect leadership.</v>
      </c>
    </row>
    <row r="11" customFormat="false" ht="15" hidden="false" customHeight="true" outlineLevel="0" collapsed="false">
      <c r="A11" s="1" t="n">
        <v>2</v>
      </c>
      <c r="B11" s="1" t="str">
        <f aca="false">IF(OWNER_INPUTS!B7="","",OWNER_INPUTS!B7)</f>
        <v>Matcha Latte</v>
      </c>
      <c r="C11" s="1" t="str">
        <f aca="false">IF($B11="","",OWNER_INPUTS!C7)</f>
        <v>Specialty Drink</v>
      </c>
      <c r="D11" s="1" t="str">
        <f aca="false">IF($B11="","",OWNER_INPUTS!D7)</f>
        <v>Profit Driver</v>
      </c>
      <c r="E11" s="56" t="n">
        <f aca="false">IF($B11="","",OWNER_INPUTS!G7)</f>
        <v>1200</v>
      </c>
      <c r="F11" s="30" t="n">
        <f aca="false">IF($B11="","",OWNER_INPUTS!F7-OWNER_INPUTS!E7)</f>
        <v>3.4</v>
      </c>
      <c r="G11" s="30" t="n">
        <f aca="false">IF($B11="","",$E11*$F11)</f>
        <v>4080</v>
      </c>
      <c r="H11" s="57" t="n">
        <f aca="false">IF($B11="","",IF(OWNER_INPUTS!F7&gt;0,$F11/OWNER_INPUTS!F7,0))</f>
        <v>0.708333333333333</v>
      </c>
      <c r="I11" s="1" t="str">
        <f aca="false">IF($B11="","",IF($E11&gt;=$B$5,"High","Low"))</f>
        <v>High</v>
      </c>
      <c r="J11" s="1" t="str">
        <f aca="false">IF($B11="","",IF($H11&gt;=$B$6,"High","Low"))</f>
        <v>High</v>
      </c>
      <c r="K11" s="1" t="str">
        <f aca="false">IF($B11="","",IF(AND($I11="High",$J11="High"),"Star",IF(AND($I11="High",$J11="Low"),"Plowhorse",IF(AND($I11="Low",$J11="High"),"Puzzle","Dog"))))</f>
        <v>Star</v>
      </c>
      <c r="L11" s="1" t="str">
        <f aca="false">IF($B11="","",IF($K11="Star","Hold / protect leadership",IF($K11="Plowhorse","Modest raise to capture margin",IF($K11="Puzzle","Reposition / promote / test premium","Consider removal or simplification"))))</f>
        <v>Hold / protect leadership</v>
      </c>
      <c r="M11" s="1" t="str">
        <f aca="false">IF($B11="","",$K11&amp;" ("&amp;$I11&amp;" volume, "&amp;$J11&amp;" margin). "&amp;$L11&amp;".")</f>
        <v>Star (High volume, High margin). Hold / protect leadership.</v>
      </c>
    </row>
    <row r="12" customFormat="false" ht="15" hidden="false" customHeight="true" outlineLevel="0" collapsed="false">
      <c r="A12" s="1" t="n">
        <v>3</v>
      </c>
      <c r="B12" s="1" t="str">
        <f aca="false">IF(OWNER_INPUTS!B8="","",OWNER_INPUTS!B8)</f>
        <v>Eggs Benedict</v>
      </c>
      <c r="C12" s="1" t="str">
        <f aca="false">IF($B12="","",OWNER_INPUTS!C8)</f>
        <v>Sandwich/Food</v>
      </c>
      <c r="D12" s="1" t="str">
        <f aca="false">IF($B12="","",OWNER_INPUTS!D8)</f>
        <v>Signature</v>
      </c>
      <c r="E12" s="56" t="n">
        <f aca="false">IF($B12="","",OWNER_INPUTS!G8)</f>
        <v>900</v>
      </c>
      <c r="F12" s="30" t="n">
        <f aca="false">IF($B12="","",OWNER_INPUTS!F8-OWNER_INPUTS!E8)</f>
        <v>5.6</v>
      </c>
      <c r="G12" s="30" t="n">
        <f aca="false">IF($B12="","",$E12*$F12)</f>
        <v>5040</v>
      </c>
      <c r="H12" s="57" t="n">
        <f aca="false">IF($B12="","",IF(OWNER_INPUTS!F8&gt;0,$F12/OWNER_INPUTS!F8,0))</f>
        <v>0.571428571428571</v>
      </c>
      <c r="I12" s="1" t="str">
        <f aca="false">IF($B12="","",IF($E12&gt;=$B$5,"High","Low"))</f>
        <v>Low</v>
      </c>
      <c r="J12" s="1" t="str">
        <f aca="false">IF($B12="","",IF($H12&gt;=$B$6,"High","Low"))</f>
        <v>Low</v>
      </c>
      <c r="K12" s="1" t="str">
        <f aca="false">IF($B12="","",IF(AND($I12="High",$J12="High"),"Star",IF(AND($I12="High",$J12="Low"),"Plowhorse",IF(AND($I12="Low",$J12="High"),"Puzzle","Dog"))))</f>
        <v>Dog</v>
      </c>
      <c r="L12" s="1" t="str">
        <f aca="false">IF($B12="","",IF($K12="Star","Hold / protect leadership",IF($K12="Plowhorse","Modest raise to capture margin",IF($K12="Puzzle","Reposition / promote / test premium","Consider removal or simplification"))))</f>
        <v>Consider removal or simplification</v>
      </c>
      <c r="M12" s="1" t="str">
        <f aca="false">IF($B12="","",$K12&amp;" ("&amp;$I12&amp;" volume, "&amp;$J12&amp;" margin). "&amp;$L12&amp;".")</f>
        <v>Dog (Low volume, Low margin). Consider removal or simplification.</v>
      </c>
    </row>
    <row r="13" customFormat="false" ht="15" hidden="false" customHeight="true" outlineLevel="0" collapsed="false">
      <c r="A13" s="1" t="n">
        <v>4</v>
      </c>
      <c r="B13" s="1" t="str">
        <f aca="false">IF(OWNER_INPUTS!B9="","",OWNER_INPUTS!B9)</f>
        <v>Avocado Toast</v>
      </c>
      <c r="C13" s="1" t="str">
        <f aca="false">IF($B13="","",OWNER_INPUTS!C9)</f>
        <v>Sandwich/Food</v>
      </c>
      <c r="D13" s="1" t="str">
        <f aca="false">IF($B13="","",OWNER_INPUTS!D9)</f>
        <v>Core</v>
      </c>
      <c r="E13" s="56" t="n">
        <f aca="false">IF($B13="","",OWNER_INPUTS!G9)</f>
        <v>1050</v>
      </c>
      <c r="F13" s="30" t="n">
        <f aca="false">IF($B13="","",OWNER_INPUTS!F9-OWNER_INPUTS!E9)</f>
        <v>6</v>
      </c>
      <c r="G13" s="30" t="n">
        <f aca="false">IF($B13="","",$E13*$F13)</f>
        <v>6300</v>
      </c>
      <c r="H13" s="57" t="n">
        <f aca="false">IF($B13="","",IF(OWNER_INPUTS!F9&gt;0,$F13/OWNER_INPUTS!F9,0))</f>
        <v>0.571428571428571</v>
      </c>
      <c r="I13" s="1" t="str">
        <f aca="false">IF($B13="","",IF($E13&gt;=$B$5,"High","Low"))</f>
        <v>High</v>
      </c>
      <c r="J13" s="1" t="str">
        <f aca="false">IF($B13="","",IF($H13&gt;=$B$6,"High","Low"))</f>
        <v>Low</v>
      </c>
      <c r="K13" s="1" t="str">
        <f aca="false">IF($B13="","",IF(AND($I13="High",$J13="High"),"Star",IF(AND($I13="High",$J13="Low"),"Plowhorse",IF(AND($I13="Low",$J13="High"),"Puzzle","Dog"))))</f>
        <v>Plowhorse</v>
      </c>
      <c r="L13" s="1" t="str">
        <f aca="false">IF($B13="","",IF($K13="Star","Hold / protect leadership",IF($K13="Plowhorse","Modest raise to capture margin",IF($K13="Puzzle","Reposition / promote / test premium","Consider removal or simplification"))))</f>
        <v>Modest raise to capture margin</v>
      </c>
      <c r="M13" s="1" t="str">
        <f aca="false">IF($B13="","",$K13&amp;" ("&amp;$I13&amp;" volume, "&amp;$J13&amp;" margin). "&amp;$L13&amp;".")</f>
        <v>Plowhorse (High volume, Low margin). Modest raise to capture margin.</v>
      </c>
    </row>
    <row r="14" customFormat="false" ht="15" hidden="false" customHeight="true" outlineLevel="0" collapsed="false">
      <c r="A14" s="1" t="n">
        <v>5</v>
      </c>
      <c r="B14" s="1" t="str">
        <f aca="false">IF(OWNER_INPUTS!B10="","",OWNER_INPUTS!B10)</f>
        <v>Pancakes</v>
      </c>
      <c r="C14" s="1" t="str">
        <f aca="false">IF($B14="","",OWNER_INPUTS!C10)</f>
        <v>Pastry</v>
      </c>
      <c r="D14" s="1" t="str">
        <f aca="false">IF($B14="","",OWNER_INPUTS!D10)</f>
        <v>Premium Anchor</v>
      </c>
      <c r="E14" s="56" t="n">
        <f aca="false">IF($B14="","",OWNER_INPUTS!G10)</f>
        <v>750</v>
      </c>
      <c r="F14" s="30" t="n">
        <f aca="false">IF($B14="","",OWNER_INPUTS!F10-OWNER_INPUTS!E10)</f>
        <v>5.3</v>
      </c>
      <c r="G14" s="30" t="n">
        <f aca="false">IF($B14="","",$E14*$F14)</f>
        <v>3975</v>
      </c>
      <c r="H14" s="57" t="n">
        <f aca="false">IF($B14="","",IF(OWNER_INPUTS!F10&gt;0,$F14/OWNER_INPUTS!F10,0))</f>
        <v>0.602272727272727</v>
      </c>
      <c r="I14" s="1" t="str">
        <f aca="false">IF($B14="","",IF($E14&gt;=$B$5,"High","Low"))</f>
        <v>Low</v>
      </c>
      <c r="J14" s="1" t="str">
        <f aca="false">IF($B14="","",IF($H14&gt;=$B$6,"High","Low"))</f>
        <v>Low</v>
      </c>
      <c r="K14" s="1" t="str">
        <f aca="false">IF($B14="","",IF(AND($I14="High",$J14="High"),"Star",IF(AND($I14="High",$J14="Low"),"Plowhorse",IF(AND($I14="Low",$J14="High"),"Puzzle","Dog"))))</f>
        <v>Dog</v>
      </c>
      <c r="L14" s="1" t="str">
        <f aca="false">IF($B14="","",IF($K14="Star","Hold / protect leadership",IF($K14="Plowhorse","Modest raise to capture margin",IF($K14="Puzzle","Reposition / promote / test premium","Consider removal or simplification"))))</f>
        <v>Consider removal or simplification</v>
      </c>
      <c r="M14" s="1" t="str">
        <f aca="false">IF($B14="","",$K14&amp;" ("&amp;$I14&amp;" volume, "&amp;$J14&amp;" margin). "&amp;$L14&amp;".")</f>
        <v>Dog (Low volume, Low margin). Consider removal or simplification.</v>
      </c>
    </row>
    <row r="15" customFormat="false" ht="15" hidden="false" customHeight="true" outlineLevel="0" collapsed="false">
      <c r="A15" s="1" t="n">
        <v>6</v>
      </c>
      <c r="B15" s="1" t="str">
        <f aca="false">IF(OWNER_INPUTS!B11="","",OWNER_INPUTS!B11)</f>
        <v>Cheesecake</v>
      </c>
      <c r="C15" s="1" t="str">
        <f aca="false">IF($B15="","",OWNER_INPUTS!C11)</f>
        <v>Dessert</v>
      </c>
      <c r="D15" s="1" t="str">
        <f aca="false">IF($B15="","",OWNER_INPUTS!D11)</f>
        <v>Profit Driver</v>
      </c>
      <c r="E15" s="56" t="n">
        <f aca="false">IF($B15="","",OWNER_INPUTS!G11)</f>
        <v>450</v>
      </c>
      <c r="F15" s="30" t="n">
        <f aca="false">IF($B15="","",OWNER_INPUTS!F11-OWNER_INPUTS!E11)</f>
        <v>3.7</v>
      </c>
      <c r="G15" s="30" t="n">
        <f aca="false">IF($B15="","",$E15*$F15)</f>
        <v>1665</v>
      </c>
      <c r="H15" s="57" t="n">
        <f aca="false">IF($B15="","",IF(OWNER_INPUTS!F11&gt;0,$F15/OWNER_INPUTS!F11,0))</f>
        <v>0.637931034482759</v>
      </c>
      <c r="I15" s="1" t="str">
        <f aca="false">IF($B15="","",IF($E15&gt;=$B$5,"High","Low"))</f>
        <v>Low</v>
      </c>
      <c r="J15" s="1" t="str">
        <f aca="false">IF($B15="","",IF($H15&gt;=$B$6,"High","Low"))</f>
        <v>High</v>
      </c>
      <c r="K15" s="1" t="str">
        <f aca="false">IF($B15="","",IF(AND($I15="High",$J15="High"),"Star",IF(AND($I15="High",$J15="Low"),"Plowhorse",IF(AND($I15="Low",$J15="High"),"Puzzle","Dog"))))</f>
        <v>Puzzle</v>
      </c>
      <c r="L15" s="1" t="str">
        <f aca="false">IF($B15="","",IF($K15="Star","Hold / protect leadership",IF($K15="Plowhorse","Modest raise to capture margin",IF($K15="Puzzle","Reposition / promote / test premium","Consider removal or simplification"))))</f>
        <v>Reposition / promote / test premium</v>
      </c>
      <c r="M15" s="1" t="str">
        <f aca="false">IF($B15="","",$K15&amp;" ("&amp;$I15&amp;" volume, "&amp;$J15&amp;" margin). "&amp;$L15&amp;".")</f>
        <v>Puzzle (Low volume, High margin). Reposition / promote / test premium.</v>
      </c>
    </row>
    <row r="16" customFormat="false" ht="15" hidden="false" customHeight="true" outlineLevel="0" collapsed="false">
      <c r="A16" s="1" t="n">
        <v>7</v>
      </c>
      <c r="B16" s="1" t="str">
        <f aca="false">IF(OWNER_INPUTS!B12="","",OWNER_INPUTS!B12)</f>
        <v/>
      </c>
      <c r="C16" s="1" t="str">
        <f aca="false">IF($B16="","",OWNER_INPUTS!C12)</f>
        <v/>
      </c>
      <c r="D16" s="1" t="str">
        <f aca="false">IF($B16="","",OWNER_INPUTS!D12)</f>
        <v/>
      </c>
      <c r="E16" s="1" t="str">
        <f aca="false">IF($B16="","",OWNER_INPUTS!G12)</f>
        <v/>
      </c>
      <c r="F16" s="30" t="str">
        <f aca="false">IF($B16="","",OWNER_INPUTS!F12-OWNER_INPUTS!E12)</f>
        <v/>
      </c>
      <c r="G16" s="30" t="str">
        <f aca="false">IF($B16="","",$E16*$F16)</f>
        <v/>
      </c>
      <c r="H16" s="57" t="str">
        <f aca="false">IF($B16="","",IF(OWNER_INPUTS!F12&gt;0,$F16/OWNER_INPUTS!F12,0))</f>
        <v/>
      </c>
      <c r="I16" s="1" t="str">
        <f aca="false">IF($B16="","",IF($E16&gt;=$B$5,"High","Low"))</f>
        <v/>
      </c>
      <c r="J16" s="1" t="str">
        <f aca="false">IF($B16="","",IF($H16&gt;=$B$6,"High","Low"))</f>
        <v/>
      </c>
      <c r="K16" s="1" t="str">
        <f aca="false">IF($B16="","",IF(AND($I16="High",$J16="High"),"Star",IF(AND($I16="High",$J16="Low"),"Plowhorse",IF(AND($I16="Low",$J16="High"),"Puzzle","Dog"))))</f>
        <v/>
      </c>
      <c r="L16" s="1" t="str">
        <f aca="false">IF($B16="","",IF($K16="Star","Hold / protect leadership",IF($K16="Plowhorse","Modest raise to capture margin",IF($K16="Puzzle","Reposition / promote / test premium","Consider removal or simplification"))))</f>
        <v/>
      </c>
      <c r="M16" s="1" t="str">
        <f aca="false">IF($B16="","",$K16&amp;" ("&amp;$I16&amp;" volume, "&amp;$J16&amp;" margin). "&amp;$L16&amp;".")</f>
        <v/>
      </c>
    </row>
    <row r="17" customFormat="false" ht="15" hidden="false" customHeight="true" outlineLevel="0" collapsed="false">
      <c r="A17" s="1" t="n">
        <v>8</v>
      </c>
      <c r="B17" s="1" t="str">
        <f aca="false">IF(OWNER_INPUTS!B13="","",OWNER_INPUTS!B13)</f>
        <v/>
      </c>
      <c r="C17" s="1" t="str">
        <f aca="false">IF($B17="","",OWNER_INPUTS!C13)</f>
        <v/>
      </c>
      <c r="D17" s="1" t="str">
        <f aca="false">IF($B17="","",OWNER_INPUTS!D13)</f>
        <v/>
      </c>
      <c r="E17" s="1" t="str">
        <f aca="false">IF($B17="","",OWNER_INPUTS!G13)</f>
        <v/>
      </c>
      <c r="F17" s="30" t="str">
        <f aca="false">IF($B17="","",OWNER_INPUTS!F13-OWNER_INPUTS!E13)</f>
        <v/>
      </c>
      <c r="G17" s="30" t="str">
        <f aca="false">IF($B17="","",$E17*$F17)</f>
        <v/>
      </c>
      <c r="H17" s="57" t="str">
        <f aca="false">IF($B17="","",IF(OWNER_INPUTS!F13&gt;0,$F17/OWNER_INPUTS!F13,0))</f>
        <v/>
      </c>
      <c r="I17" s="1" t="str">
        <f aca="false">IF($B17="","",IF($E17&gt;=$B$5,"High","Low"))</f>
        <v/>
      </c>
      <c r="J17" s="1" t="str">
        <f aca="false">IF($B17="","",IF($H17&gt;=$B$6,"High","Low"))</f>
        <v/>
      </c>
      <c r="K17" s="1" t="str">
        <f aca="false">IF($B17="","",IF(AND($I17="High",$J17="High"),"Star",IF(AND($I17="High",$J17="Low"),"Plowhorse",IF(AND($I17="Low",$J17="High"),"Puzzle","Dog"))))</f>
        <v/>
      </c>
      <c r="L17" s="1" t="str">
        <f aca="false">IF($B17="","",IF($K17="Star","Hold / protect leadership",IF($K17="Plowhorse","Modest raise to capture margin",IF($K17="Puzzle","Reposition / promote / test premium","Consider removal or simplification"))))</f>
        <v/>
      </c>
      <c r="M17" s="1" t="str">
        <f aca="false">IF($B17="","",$K17&amp;" ("&amp;$I17&amp;" volume, "&amp;$J17&amp;" margin). "&amp;$L17&amp;".")</f>
        <v/>
      </c>
    </row>
    <row r="18" customFormat="false" ht="15" hidden="false" customHeight="true" outlineLevel="0" collapsed="false">
      <c r="A18" s="1" t="n">
        <v>9</v>
      </c>
      <c r="B18" s="1" t="str">
        <f aca="false">IF(OWNER_INPUTS!B14="","",OWNER_INPUTS!B14)</f>
        <v/>
      </c>
      <c r="C18" s="1" t="str">
        <f aca="false">IF($B18="","",OWNER_INPUTS!C14)</f>
        <v/>
      </c>
      <c r="D18" s="1" t="str">
        <f aca="false">IF($B18="","",OWNER_INPUTS!D14)</f>
        <v/>
      </c>
      <c r="E18" s="1" t="str">
        <f aca="false">IF($B18="","",OWNER_INPUTS!G14)</f>
        <v/>
      </c>
      <c r="F18" s="30" t="str">
        <f aca="false">IF($B18="","",OWNER_INPUTS!F14-OWNER_INPUTS!E14)</f>
        <v/>
      </c>
      <c r="G18" s="30" t="str">
        <f aca="false">IF($B18="","",$E18*$F18)</f>
        <v/>
      </c>
      <c r="H18" s="57" t="str">
        <f aca="false">IF($B18="","",IF(OWNER_INPUTS!F14&gt;0,$F18/OWNER_INPUTS!F14,0))</f>
        <v/>
      </c>
      <c r="I18" s="1" t="str">
        <f aca="false">IF($B18="","",IF($E18&gt;=$B$5,"High","Low"))</f>
        <v/>
      </c>
      <c r="J18" s="1" t="str">
        <f aca="false">IF($B18="","",IF($H18&gt;=$B$6,"High","Low"))</f>
        <v/>
      </c>
      <c r="K18" s="1" t="str">
        <f aca="false">IF($B18="","",IF(AND($I18="High",$J18="High"),"Star",IF(AND($I18="High",$J18="Low"),"Plowhorse",IF(AND($I18="Low",$J18="High"),"Puzzle","Dog"))))</f>
        <v/>
      </c>
      <c r="L18" s="1" t="str">
        <f aca="false">IF($B18="","",IF($K18="Star","Hold / protect leadership",IF($K18="Plowhorse","Modest raise to capture margin",IF($K18="Puzzle","Reposition / promote / test premium","Consider removal or simplification"))))</f>
        <v/>
      </c>
      <c r="M18" s="1" t="str">
        <f aca="false">IF($B18="","",$K18&amp;" ("&amp;$I18&amp;" volume, "&amp;$J18&amp;" margin). "&amp;$L18&amp;".")</f>
        <v/>
      </c>
    </row>
    <row r="19" customFormat="false" ht="15" hidden="false" customHeight="true" outlineLevel="0" collapsed="false">
      <c r="A19" s="1" t="n">
        <v>10</v>
      </c>
      <c r="B19" s="1" t="str">
        <f aca="false">IF(OWNER_INPUTS!B15="","",OWNER_INPUTS!B15)</f>
        <v/>
      </c>
      <c r="C19" s="1" t="str">
        <f aca="false">IF($B19="","",OWNER_INPUTS!C15)</f>
        <v/>
      </c>
      <c r="D19" s="1" t="str">
        <f aca="false">IF($B19="","",OWNER_INPUTS!D15)</f>
        <v/>
      </c>
      <c r="E19" s="1" t="str">
        <f aca="false">IF($B19="","",OWNER_INPUTS!G15)</f>
        <v/>
      </c>
      <c r="F19" s="30" t="str">
        <f aca="false">IF($B19="","",OWNER_INPUTS!F15-OWNER_INPUTS!E15)</f>
        <v/>
      </c>
      <c r="G19" s="30" t="str">
        <f aca="false">IF($B19="","",$E19*$F19)</f>
        <v/>
      </c>
      <c r="H19" s="57" t="str">
        <f aca="false">IF($B19="","",IF(OWNER_INPUTS!F15&gt;0,$F19/OWNER_INPUTS!F15,0))</f>
        <v/>
      </c>
      <c r="I19" s="1" t="str">
        <f aca="false">IF($B19="","",IF($E19&gt;=$B$5,"High","Low"))</f>
        <v/>
      </c>
      <c r="J19" s="1" t="str">
        <f aca="false">IF($B19="","",IF($H19&gt;=$B$6,"High","Low"))</f>
        <v/>
      </c>
      <c r="K19" s="1" t="str">
        <f aca="false">IF($B19="","",IF(AND($I19="High",$J19="High"),"Star",IF(AND($I19="High",$J19="Low"),"Plowhorse",IF(AND($I19="Low",$J19="High"),"Puzzle","Dog"))))</f>
        <v/>
      </c>
      <c r="L19" s="1" t="str">
        <f aca="false">IF($B19="","",IF($K19="Star","Hold / protect leadership",IF($K19="Plowhorse","Modest raise to capture margin",IF($K19="Puzzle","Reposition / promote / test premium","Consider removal or simplification"))))</f>
        <v/>
      </c>
      <c r="M19" s="1" t="str">
        <f aca="false">IF($B19="","",$K19&amp;" ("&amp;$I19&amp;" volume, "&amp;$J19&amp;" margin). "&amp;$L19&amp;".")</f>
        <v/>
      </c>
    </row>
    <row r="20" customFormat="false" ht="15" hidden="false" customHeight="true" outlineLevel="0" collapsed="false">
      <c r="A20" s="1" t="n">
        <v>11</v>
      </c>
      <c r="B20" s="1" t="str">
        <f aca="false">IF(OWNER_INPUTS!B16="","",OWNER_INPUTS!B16)</f>
        <v/>
      </c>
      <c r="C20" s="1" t="str">
        <f aca="false">IF($B20="","",OWNER_INPUTS!C16)</f>
        <v/>
      </c>
      <c r="D20" s="1" t="str">
        <f aca="false">IF($B20="","",OWNER_INPUTS!D16)</f>
        <v/>
      </c>
      <c r="E20" s="1" t="str">
        <f aca="false">IF($B20="","",OWNER_INPUTS!G16)</f>
        <v/>
      </c>
      <c r="F20" s="30" t="str">
        <f aca="false">IF($B20="","",OWNER_INPUTS!F16-OWNER_INPUTS!E16)</f>
        <v/>
      </c>
      <c r="G20" s="30" t="str">
        <f aca="false">IF($B20="","",$E20*$F20)</f>
        <v/>
      </c>
      <c r="H20" s="57" t="str">
        <f aca="false">IF($B20="","",IF(OWNER_INPUTS!F16&gt;0,$F20/OWNER_INPUTS!F16,0))</f>
        <v/>
      </c>
      <c r="I20" s="1" t="str">
        <f aca="false">IF($B20="","",IF($E20&gt;=$B$5,"High","Low"))</f>
        <v/>
      </c>
      <c r="J20" s="1" t="str">
        <f aca="false">IF($B20="","",IF($H20&gt;=$B$6,"High","Low"))</f>
        <v/>
      </c>
      <c r="K20" s="1" t="str">
        <f aca="false">IF($B20="","",IF(AND($I20="High",$J20="High"),"Star",IF(AND($I20="High",$J20="Low"),"Plowhorse",IF(AND($I20="Low",$J20="High"),"Puzzle","Dog"))))</f>
        <v/>
      </c>
      <c r="L20" s="1" t="str">
        <f aca="false">IF($B20="","",IF($K20="Star","Hold / protect leadership",IF($K20="Plowhorse","Modest raise to capture margin",IF($K20="Puzzle","Reposition / promote / test premium","Consider removal or simplification"))))</f>
        <v/>
      </c>
      <c r="M20" s="1" t="str">
        <f aca="false">IF($B20="","",$K20&amp;" ("&amp;$I20&amp;" volume, "&amp;$J20&amp;" margin). "&amp;$L20&amp;".")</f>
        <v/>
      </c>
    </row>
    <row r="21" customFormat="false" ht="15" hidden="false" customHeight="true" outlineLevel="0" collapsed="false">
      <c r="A21" s="1" t="n">
        <v>12</v>
      </c>
      <c r="B21" s="1" t="str">
        <f aca="false">IF(OWNER_INPUTS!B17="","",OWNER_INPUTS!B17)</f>
        <v/>
      </c>
      <c r="C21" s="1" t="str">
        <f aca="false">IF($B21="","",OWNER_INPUTS!C17)</f>
        <v/>
      </c>
      <c r="D21" s="1" t="str">
        <f aca="false">IF($B21="","",OWNER_INPUTS!D17)</f>
        <v/>
      </c>
      <c r="E21" s="1" t="str">
        <f aca="false">IF($B21="","",OWNER_INPUTS!G17)</f>
        <v/>
      </c>
      <c r="F21" s="30" t="str">
        <f aca="false">IF($B21="","",OWNER_INPUTS!F17-OWNER_INPUTS!E17)</f>
        <v/>
      </c>
      <c r="G21" s="30" t="str">
        <f aca="false">IF($B21="","",$E21*$F21)</f>
        <v/>
      </c>
      <c r="H21" s="57" t="str">
        <f aca="false">IF($B21="","",IF(OWNER_INPUTS!F17&gt;0,$F21/OWNER_INPUTS!F17,0))</f>
        <v/>
      </c>
      <c r="I21" s="1" t="str">
        <f aca="false">IF($B21="","",IF($E21&gt;=$B$5,"High","Low"))</f>
        <v/>
      </c>
      <c r="J21" s="1" t="str">
        <f aca="false">IF($B21="","",IF($H21&gt;=$B$6,"High","Low"))</f>
        <v/>
      </c>
      <c r="K21" s="1" t="str">
        <f aca="false">IF($B21="","",IF(AND($I21="High",$J21="High"),"Star",IF(AND($I21="High",$J21="Low"),"Plowhorse",IF(AND($I21="Low",$J21="High"),"Puzzle","Dog"))))</f>
        <v/>
      </c>
      <c r="L21" s="1" t="str">
        <f aca="false">IF($B21="","",IF($K21="Star","Hold / protect leadership",IF($K21="Plowhorse","Modest raise to capture margin",IF($K21="Puzzle","Reposition / promote / test premium","Consider removal or simplification"))))</f>
        <v/>
      </c>
      <c r="M21" s="1" t="str">
        <f aca="false">IF($B21="","",$K21&amp;" ("&amp;$I21&amp;" volume, "&amp;$J21&amp;" margin). "&amp;$L21&amp;".")</f>
        <v/>
      </c>
    </row>
    <row r="22" customFormat="false" ht="15" hidden="false" customHeight="true" outlineLevel="0" collapsed="false">
      <c r="A22" s="1" t="n">
        <v>13</v>
      </c>
      <c r="B22" s="1" t="str">
        <f aca="false">IF(OWNER_INPUTS!B18="","",OWNER_INPUTS!B18)</f>
        <v/>
      </c>
      <c r="C22" s="1" t="str">
        <f aca="false">IF($B22="","",OWNER_INPUTS!C18)</f>
        <v/>
      </c>
      <c r="D22" s="1" t="str">
        <f aca="false">IF($B22="","",OWNER_INPUTS!D18)</f>
        <v/>
      </c>
      <c r="E22" s="1" t="str">
        <f aca="false">IF($B22="","",OWNER_INPUTS!G18)</f>
        <v/>
      </c>
      <c r="F22" s="30" t="str">
        <f aca="false">IF($B22="","",OWNER_INPUTS!F18-OWNER_INPUTS!E18)</f>
        <v/>
      </c>
      <c r="G22" s="30" t="str">
        <f aca="false">IF($B22="","",$E22*$F22)</f>
        <v/>
      </c>
      <c r="H22" s="57" t="str">
        <f aca="false">IF($B22="","",IF(OWNER_INPUTS!F18&gt;0,$F22/OWNER_INPUTS!F18,0))</f>
        <v/>
      </c>
      <c r="I22" s="1" t="str">
        <f aca="false">IF($B22="","",IF($E22&gt;=$B$5,"High","Low"))</f>
        <v/>
      </c>
      <c r="J22" s="1" t="str">
        <f aca="false">IF($B22="","",IF($H22&gt;=$B$6,"High","Low"))</f>
        <v/>
      </c>
      <c r="K22" s="1" t="str">
        <f aca="false">IF($B22="","",IF(AND($I22="High",$J22="High"),"Star",IF(AND($I22="High",$J22="Low"),"Plowhorse",IF(AND($I22="Low",$J22="High"),"Puzzle","Dog"))))</f>
        <v/>
      </c>
      <c r="L22" s="1" t="str">
        <f aca="false">IF($B22="","",IF($K22="Star","Hold / protect leadership",IF($K22="Plowhorse","Modest raise to capture margin",IF($K22="Puzzle","Reposition / promote / test premium","Consider removal or simplification"))))</f>
        <v/>
      </c>
      <c r="M22" s="1" t="str">
        <f aca="false">IF($B22="","",$K22&amp;" ("&amp;$I22&amp;" volume, "&amp;$J22&amp;" margin). "&amp;$L22&amp;".")</f>
        <v/>
      </c>
    </row>
    <row r="23" customFormat="false" ht="15" hidden="false" customHeight="true" outlineLevel="0" collapsed="false">
      <c r="A23" s="1" t="n">
        <v>14</v>
      </c>
      <c r="B23" s="1" t="str">
        <f aca="false">IF(OWNER_INPUTS!B19="","",OWNER_INPUTS!B19)</f>
        <v/>
      </c>
      <c r="C23" s="1" t="str">
        <f aca="false">IF($B23="","",OWNER_INPUTS!C19)</f>
        <v/>
      </c>
      <c r="D23" s="1" t="str">
        <f aca="false">IF($B23="","",OWNER_INPUTS!D19)</f>
        <v/>
      </c>
      <c r="E23" s="1" t="str">
        <f aca="false">IF($B23="","",OWNER_INPUTS!G19)</f>
        <v/>
      </c>
      <c r="F23" s="30" t="str">
        <f aca="false">IF($B23="","",OWNER_INPUTS!F19-OWNER_INPUTS!E19)</f>
        <v/>
      </c>
      <c r="G23" s="30" t="str">
        <f aca="false">IF($B23="","",$E23*$F23)</f>
        <v/>
      </c>
      <c r="H23" s="57" t="str">
        <f aca="false">IF($B23="","",IF(OWNER_INPUTS!F19&gt;0,$F23/OWNER_INPUTS!F19,0))</f>
        <v/>
      </c>
      <c r="I23" s="1" t="str">
        <f aca="false">IF($B23="","",IF($E23&gt;=$B$5,"High","Low"))</f>
        <v/>
      </c>
      <c r="J23" s="1" t="str">
        <f aca="false">IF($B23="","",IF($H23&gt;=$B$6,"High","Low"))</f>
        <v/>
      </c>
      <c r="K23" s="1" t="str">
        <f aca="false">IF($B23="","",IF(AND($I23="High",$J23="High"),"Star",IF(AND($I23="High",$J23="Low"),"Plowhorse",IF(AND($I23="Low",$J23="High"),"Puzzle","Dog"))))</f>
        <v/>
      </c>
      <c r="L23" s="1" t="str">
        <f aca="false">IF($B23="","",IF($K23="Star","Hold / protect leadership",IF($K23="Plowhorse","Modest raise to capture margin",IF($K23="Puzzle","Reposition / promote / test premium","Consider removal or simplification"))))</f>
        <v/>
      </c>
      <c r="M23" s="1" t="str">
        <f aca="false">IF($B23="","",$K23&amp;" ("&amp;$I23&amp;" volume, "&amp;$J23&amp;" margin). "&amp;$L23&amp;".")</f>
        <v/>
      </c>
    </row>
    <row r="24" customFormat="false" ht="15" hidden="false" customHeight="true" outlineLevel="0" collapsed="false">
      <c r="A24" s="1" t="n">
        <v>15</v>
      </c>
      <c r="B24" s="1" t="str">
        <f aca="false">IF(OWNER_INPUTS!B20="","",OWNER_INPUTS!B20)</f>
        <v/>
      </c>
      <c r="C24" s="1" t="str">
        <f aca="false">IF($B24="","",OWNER_INPUTS!C20)</f>
        <v/>
      </c>
      <c r="D24" s="1" t="str">
        <f aca="false">IF($B24="","",OWNER_INPUTS!D20)</f>
        <v/>
      </c>
      <c r="E24" s="1" t="str">
        <f aca="false">IF($B24="","",OWNER_INPUTS!G20)</f>
        <v/>
      </c>
      <c r="F24" s="30" t="str">
        <f aca="false">IF($B24="","",OWNER_INPUTS!F20-OWNER_INPUTS!E20)</f>
        <v/>
      </c>
      <c r="G24" s="30" t="str">
        <f aca="false">IF($B24="","",$E24*$F24)</f>
        <v/>
      </c>
      <c r="H24" s="57" t="str">
        <f aca="false">IF($B24="","",IF(OWNER_INPUTS!F20&gt;0,$F24/OWNER_INPUTS!F20,0))</f>
        <v/>
      </c>
      <c r="I24" s="1" t="str">
        <f aca="false">IF($B24="","",IF($E24&gt;=$B$5,"High","Low"))</f>
        <v/>
      </c>
      <c r="J24" s="1" t="str">
        <f aca="false">IF($B24="","",IF($H24&gt;=$B$6,"High","Low"))</f>
        <v/>
      </c>
      <c r="K24" s="1" t="str">
        <f aca="false">IF($B24="","",IF(AND($I24="High",$J24="High"),"Star",IF(AND($I24="High",$J24="Low"),"Plowhorse",IF(AND($I24="Low",$J24="High"),"Puzzle","Dog"))))</f>
        <v/>
      </c>
      <c r="L24" s="1" t="str">
        <f aca="false">IF($B24="","",IF($K24="Star","Hold / protect leadership",IF($K24="Plowhorse","Modest raise to capture margin",IF($K24="Puzzle","Reposition / promote / test premium","Consider removal or simplification"))))</f>
        <v/>
      </c>
      <c r="M24" s="1" t="str">
        <f aca="false">IF($B24="","",$K24&amp;" ("&amp;$I24&amp;" volume, "&amp;$J24&amp;" margin). "&amp;$L24&amp;".")</f>
        <v/>
      </c>
    </row>
    <row r="25" customFormat="false" ht="15" hidden="false" customHeight="true" outlineLevel="0" collapsed="false">
      <c r="A25" s="1" t="n">
        <v>16</v>
      </c>
      <c r="B25" s="1" t="str">
        <f aca="false">IF(OWNER_INPUTS!B21="","",OWNER_INPUTS!B21)</f>
        <v/>
      </c>
      <c r="C25" s="1" t="str">
        <f aca="false">IF($B25="","",OWNER_INPUTS!C21)</f>
        <v/>
      </c>
      <c r="D25" s="1" t="str">
        <f aca="false">IF($B25="","",OWNER_INPUTS!D21)</f>
        <v/>
      </c>
      <c r="E25" s="1" t="str">
        <f aca="false">IF($B25="","",OWNER_INPUTS!G21)</f>
        <v/>
      </c>
      <c r="F25" s="30" t="str">
        <f aca="false">IF($B25="","",OWNER_INPUTS!F21-OWNER_INPUTS!E21)</f>
        <v/>
      </c>
      <c r="G25" s="30" t="str">
        <f aca="false">IF($B25="","",$E25*$F25)</f>
        <v/>
      </c>
      <c r="H25" s="57" t="str">
        <f aca="false">IF($B25="","",IF(OWNER_INPUTS!F21&gt;0,$F25/OWNER_INPUTS!F21,0))</f>
        <v/>
      </c>
      <c r="I25" s="1" t="str">
        <f aca="false">IF($B25="","",IF($E25&gt;=$B$5,"High","Low"))</f>
        <v/>
      </c>
      <c r="J25" s="1" t="str">
        <f aca="false">IF($B25="","",IF($H25&gt;=$B$6,"High","Low"))</f>
        <v/>
      </c>
      <c r="K25" s="1" t="str">
        <f aca="false">IF($B25="","",IF(AND($I25="High",$J25="High"),"Star",IF(AND($I25="High",$J25="Low"),"Plowhorse",IF(AND($I25="Low",$J25="High"),"Puzzle","Dog"))))</f>
        <v/>
      </c>
      <c r="L25" s="1" t="str">
        <f aca="false">IF($B25="","",IF($K25="Star","Hold / protect leadership",IF($K25="Plowhorse","Modest raise to capture margin",IF($K25="Puzzle","Reposition / promote / test premium","Consider removal or simplification"))))</f>
        <v/>
      </c>
      <c r="M25" s="1" t="str">
        <f aca="false">IF($B25="","",$K25&amp;" ("&amp;$I25&amp;" volume, "&amp;$J25&amp;" margin). "&amp;$L25&amp;".")</f>
        <v/>
      </c>
    </row>
    <row r="26" customFormat="false" ht="15" hidden="false" customHeight="true" outlineLevel="0" collapsed="false">
      <c r="A26" s="1" t="n">
        <v>17</v>
      </c>
      <c r="B26" s="1" t="str">
        <f aca="false">IF(OWNER_INPUTS!B22="","",OWNER_INPUTS!B22)</f>
        <v/>
      </c>
      <c r="C26" s="1" t="str">
        <f aca="false">IF($B26="","",OWNER_INPUTS!C22)</f>
        <v/>
      </c>
      <c r="D26" s="1" t="str">
        <f aca="false">IF($B26="","",OWNER_INPUTS!D22)</f>
        <v/>
      </c>
      <c r="E26" s="1" t="str">
        <f aca="false">IF($B26="","",OWNER_INPUTS!G22)</f>
        <v/>
      </c>
      <c r="F26" s="30" t="str">
        <f aca="false">IF($B26="","",OWNER_INPUTS!F22-OWNER_INPUTS!E22)</f>
        <v/>
      </c>
      <c r="G26" s="30" t="str">
        <f aca="false">IF($B26="","",$E26*$F26)</f>
        <v/>
      </c>
      <c r="H26" s="57" t="str">
        <f aca="false">IF($B26="","",IF(OWNER_INPUTS!F22&gt;0,$F26/OWNER_INPUTS!F22,0))</f>
        <v/>
      </c>
      <c r="I26" s="1" t="str">
        <f aca="false">IF($B26="","",IF($E26&gt;=$B$5,"High","Low"))</f>
        <v/>
      </c>
      <c r="J26" s="1" t="str">
        <f aca="false">IF($B26="","",IF($H26&gt;=$B$6,"High","Low"))</f>
        <v/>
      </c>
      <c r="K26" s="1" t="str">
        <f aca="false">IF($B26="","",IF(AND($I26="High",$J26="High"),"Star",IF(AND($I26="High",$J26="Low"),"Plowhorse",IF(AND($I26="Low",$J26="High"),"Puzzle","Dog"))))</f>
        <v/>
      </c>
      <c r="L26" s="1" t="str">
        <f aca="false">IF($B26="","",IF($K26="Star","Hold / protect leadership",IF($K26="Plowhorse","Modest raise to capture margin",IF($K26="Puzzle","Reposition / promote / test premium","Consider removal or simplification"))))</f>
        <v/>
      </c>
      <c r="M26" s="1" t="str">
        <f aca="false">IF($B26="","",$K26&amp;" ("&amp;$I26&amp;" volume, "&amp;$J26&amp;" margin). "&amp;$L26&amp;".")</f>
        <v/>
      </c>
    </row>
    <row r="27" customFormat="false" ht="15" hidden="false" customHeight="true" outlineLevel="0" collapsed="false">
      <c r="A27" s="1" t="n">
        <v>18</v>
      </c>
      <c r="B27" s="1" t="str">
        <f aca="false">IF(OWNER_INPUTS!B23="","",OWNER_INPUTS!B23)</f>
        <v/>
      </c>
      <c r="C27" s="1" t="str">
        <f aca="false">IF($B27="","",OWNER_INPUTS!C23)</f>
        <v/>
      </c>
      <c r="D27" s="1" t="str">
        <f aca="false">IF($B27="","",OWNER_INPUTS!D23)</f>
        <v/>
      </c>
      <c r="E27" s="1" t="str">
        <f aca="false">IF($B27="","",OWNER_INPUTS!G23)</f>
        <v/>
      </c>
      <c r="F27" s="30" t="str">
        <f aca="false">IF($B27="","",OWNER_INPUTS!F23-OWNER_INPUTS!E23)</f>
        <v/>
      </c>
      <c r="G27" s="30" t="str">
        <f aca="false">IF($B27="","",$E27*$F27)</f>
        <v/>
      </c>
      <c r="H27" s="57" t="str">
        <f aca="false">IF($B27="","",IF(OWNER_INPUTS!F23&gt;0,$F27/OWNER_INPUTS!F23,0))</f>
        <v/>
      </c>
      <c r="I27" s="1" t="str">
        <f aca="false">IF($B27="","",IF($E27&gt;=$B$5,"High","Low"))</f>
        <v/>
      </c>
      <c r="J27" s="1" t="str">
        <f aca="false">IF($B27="","",IF($H27&gt;=$B$6,"High","Low"))</f>
        <v/>
      </c>
      <c r="K27" s="1" t="str">
        <f aca="false">IF($B27="","",IF(AND($I27="High",$J27="High"),"Star",IF(AND($I27="High",$J27="Low"),"Plowhorse",IF(AND($I27="Low",$J27="High"),"Puzzle","Dog"))))</f>
        <v/>
      </c>
      <c r="L27" s="1" t="str">
        <f aca="false">IF($B27="","",IF($K27="Star","Hold / protect leadership",IF($K27="Plowhorse","Modest raise to capture margin",IF($K27="Puzzle","Reposition / promote / test premium","Consider removal or simplification"))))</f>
        <v/>
      </c>
      <c r="M27" s="1" t="str">
        <f aca="false">IF($B27="","",$K27&amp;" ("&amp;$I27&amp;" volume, "&amp;$J27&amp;" margin). "&amp;$L27&amp;".")</f>
        <v/>
      </c>
    </row>
    <row r="28" customFormat="false" ht="15" hidden="false" customHeight="true" outlineLevel="0" collapsed="false">
      <c r="A28" s="1" t="n">
        <v>19</v>
      </c>
      <c r="B28" s="1" t="str">
        <f aca="false">IF(OWNER_INPUTS!B24="","",OWNER_INPUTS!B24)</f>
        <v/>
      </c>
      <c r="C28" s="1" t="str">
        <f aca="false">IF($B28="","",OWNER_INPUTS!C24)</f>
        <v/>
      </c>
      <c r="D28" s="1" t="str">
        <f aca="false">IF($B28="","",OWNER_INPUTS!D24)</f>
        <v/>
      </c>
      <c r="E28" s="1" t="str">
        <f aca="false">IF($B28="","",OWNER_INPUTS!G24)</f>
        <v/>
      </c>
      <c r="F28" s="30" t="str">
        <f aca="false">IF($B28="","",OWNER_INPUTS!F24-OWNER_INPUTS!E24)</f>
        <v/>
      </c>
      <c r="G28" s="30" t="str">
        <f aca="false">IF($B28="","",$E28*$F28)</f>
        <v/>
      </c>
      <c r="H28" s="57" t="str">
        <f aca="false">IF($B28="","",IF(OWNER_INPUTS!F24&gt;0,$F28/OWNER_INPUTS!F24,0))</f>
        <v/>
      </c>
      <c r="I28" s="1" t="str">
        <f aca="false">IF($B28="","",IF($E28&gt;=$B$5,"High","Low"))</f>
        <v/>
      </c>
      <c r="J28" s="1" t="str">
        <f aca="false">IF($B28="","",IF($H28&gt;=$B$6,"High","Low"))</f>
        <v/>
      </c>
      <c r="K28" s="1" t="str">
        <f aca="false">IF($B28="","",IF(AND($I28="High",$J28="High"),"Star",IF(AND($I28="High",$J28="Low"),"Plowhorse",IF(AND($I28="Low",$J28="High"),"Puzzle","Dog"))))</f>
        <v/>
      </c>
      <c r="L28" s="1" t="str">
        <f aca="false">IF($B28="","",IF($K28="Star","Hold / protect leadership",IF($K28="Plowhorse","Modest raise to capture margin",IF($K28="Puzzle","Reposition / promote / test premium","Consider removal or simplification"))))</f>
        <v/>
      </c>
      <c r="M28" s="1" t="str">
        <f aca="false">IF($B28="","",$K28&amp;" ("&amp;$I28&amp;" volume, "&amp;$J28&amp;" margin). "&amp;$L28&amp;".")</f>
        <v/>
      </c>
    </row>
    <row r="29" customFormat="false" ht="15" hidden="false" customHeight="true" outlineLevel="0" collapsed="false">
      <c r="A29" s="1" t="n">
        <v>20</v>
      </c>
      <c r="B29" s="1" t="str">
        <f aca="false">IF(OWNER_INPUTS!B25="","",OWNER_INPUTS!B25)</f>
        <v/>
      </c>
      <c r="C29" s="1" t="str">
        <f aca="false">IF($B29="","",OWNER_INPUTS!C25)</f>
        <v/>
      </c>
      <c r="D29" s="1" t="str">
        <f aca="false">IF($B29="","",OWNER_INPUTS!D25)</f>
        <v/>
      </c>
      <c r="E29" s="1" t="str">
        <f aca="false">IF($B29="","",OWNER_INPUTS!G25)</f>
        <v/>
      </c>
      <c r="F29" s="30" t="str">
        <f aca="false">IF($B29="","",OWNER_INPUTS!F25-OWNER_INPUTS!E25)</f>
        <v/>
      </c>
      <c r="G29" s="30" t="str">
        <f aca="false">IF($B29="","",$E29*$F29)</f>
        <v/>
      </c>
      <c r="H29" s="57" t="str">
        <f aca="false">IF($B29="","",IF(OWNER_INPUTS!F25&gt;0,$F29/OWNER_INPUTS!F25,0))</f>
        <v/>
      </c>
      <c r="I29" s="1" t="str">
        <f aca="false">IF($B29="","",IF($E29&gt;=$B$5,"High","Low"))</f>
        <v/>
      </c>
      <c r="J29" s="1" t="str">
        <f aca="false">IF($B29="","",IF($H29&gt;=$B$6,"High","Low"))</f>
        <v/>
      </c>
      <c r="K29" s="1" t="str">
        <f aca="false">IF($B29="","",IF(AND($I29="High",$J29="High"),"Star",IF(AND($I29="High",$J29="Low"),"Plowhorse",IF(AND($I29="Low",$J29="High"),"Puzzle","Dog"))))</f>
        <v/>
      </c>
      <c r="L29" s="1" t="str">
        <f aca="false">IF($B29="","",IF($K29="Star","Hold / protect leadership",IF($K29="Plowhorse","Modest raise to capture margin",IF($K29="Puzzle","Reposition / promote / test premium","Consider removal or simplification"))))</f>
        <v/>
      </c>
      <c r="M29" s="1" t="str">
        <f aca="false">IF($B29="","",$K29&amp;" ("&amp;$I29&amp;" volume, "&amp;$J29&amp;" margin). "&amp;$L29&amp;".")</f>
        <v/>
      </c>
    </row>
    <row r="30" customFormat="false" ht="15" hidden="false" customHeight="true" outlineLevel="0" collapsed="false">
      <c r="A30" s="1" t="n">
        <v>21</v>
      </c>
      <c r="B30" s="1" t="str">
        <f aca="false">IF(OWNER_INPUTS!B26="","",OWNER_INPUTS!B26)</f>
        <v/>
      </c>
      <c r="C30" s="1" t="str">
        <f aca="false">IF($B30="","",OWNER_INPUTS!C26)</f>
        <v/>
      </c>
      <c r="D30" s="1" t="str">
        <f aca="false">IF($B30="","",OWNER_INPUTS!D26)</f>
        <v/>
      </c>
      <c r="E30" s="1" t="str">
        <f aca="false">IF($B30="","",OWNER_INPUTS!G26)</f>
        <v/>
      </c>
      <c r="F30" s="30" t="str">
        <f aca="false">IF($B30="","",OWNER_INPUTS!F26-OWNER_INPUTS!E26)</f>
        <v/>
      </c>
      <c r="G30" s="30" t="str">
        <f aca="false">IF($B30="","",$E30*$F30)</f>
        <v/>
      </c>
      <c r="H30" s="57" t="str">
        <f aca="false">IF($B30="","",IF(OWNER_INPUTS!F26&gt;0,$F30/OWNER_INPUTS!F26,0))</f>
        <v/>
      </c>
      <c r="I30" s="1" t="str">
        <f aca="false">IF($B30="","",IF($E30&gt;=$B$5,"High","Low"))</f>
        <v/>
      </c>
      <c r="J30" s="1" t="str">
        <f aca="false">IF($B30="","",IF($H30&gt;=$B$6,"High","Low"))</f>
        <v/>
      </c>
      <c r="K30" s="1" t="str">
        <f aca="false">IF($B30="","",IF(AND($I30="High",$J30="High"),"Star",IF(AND($I30="High",$J30="Low"),"Plowhorse",IF(AND($I30="Low",$J30="High"),"Puzzle","Dog"))))</f>
        <v/>
      </c>
      <c r="L30" s="1" t="str">
        <f aca="false">IF($B30="","",IF($K30="Star","Hold / protect leadership",IF($K30="Plowhorse","Modest raise to capture margin",IF($K30="Puzzle","Reposition / promote / test premium","Consider removal or simplification"))))</f>
        <v/>
      </c>
      <c r="M30" s="1" t="str">
        <f aca="false">IF($B30="","",$K30&amp;" ("&amp;$I30&amp;" volume, "&amp;$J30&amp;" margin). "&amp;$L30&amp;".")</f>
        <v/>
      </c>
    </row>
    <row r="31" customFormat="false" ht="15" hidden="false" customHeight="true" outlineLevel="0" collapsed="false">
      <c r="A31" s="1" t="n">
        <v>22</v>
      </c>
      <c r="B31" s="1" t="str">
        <f aca="false">IF(OWNER_INPUTS!B27="","",OWNER_INPUTS!B27)</f>
        <v/>
      </c>
      <c r="C31" s="1" t="str">
        <f aca="false">IF($B31="","",OWNER_INPUTS!C27)</f>
        <v/>
      </c>
      <c r="D31" s="1" t="str">
        <f aca="false">IF($B31="","",OWNER_INPUTS!D27)</f>
        <v/>
      </c>
      <c r="E31" s="1" t="str">
        <f aca="false">IF($B31="","",OWNER_INPUTS!G27)</f>
        <v/>
      </c>
      <c r="F31" s="30" t="str">
        <f aca="false">IF($B31="","",OWNER_INPUTS!F27-OWNER_INPUTS!E27)</f>
        <v/>
      </c>
      <c r="G31" s="30" t="str">
        <f aca="false">IF($B31="","",$E31*$F31)</f>
        <v/>
      </c>
      <c r="H31" s="57" t="str">
        <f aca="false">IF($B31="","",IF(OWNER_INPUTS!F27&gt;0,$F31/OWNER_INPUTS!F27,0))</f>
        <v/>
      </c>
      <c r="I31" s="1" t="str">
        <f aca="false">IF($B31="","",IF($E31&gt;=$B$5,"High","Low"))</f>
        <v/>
      </c>
      <c r="J31" s="1" t="str">
        <f aca="false">IF($B31="","",IF($H31&gt;=$B$6,"High","Low"))</f>
        <v/>
      </c>
      <c r="K31" s="1" t="str">
        <f aca="false">IF($B31="","",IF(AND($I31="High",$J31="High"),"Star",IF(AND($I31="High",$J31="Low"),"Plowhorse",IF(AND($I31="Low",$J31="High"),"Puzzle","Dog"))))</f>
        <v/>
      </c>
      <c r="L31" s="1" t="str">
        <f aca="false">IF($B31="","",IF($K31="Star","Hold / protect leadership",IF($K31="Plowhorse","Modest raise to capture margin",IF($K31="Puzzle","Reposition / promote / test premium","Consider removal or simplification"))))</f>
        <v/>
      </c>
      <c r="M31" s="1" t="str">
        <f aca="false">IF($B31="","",$K31&amp;" ("&amp;$I31&amp;" volume, "&amp;$J31&amp;" margin). "&amp;$L31&amp;".")</f>
        <v/>
      </c>
    </row>
    <row r="32" customFormat="false" ht="15" hidden="false" customHeight="true" outlineLevel="0" collapsed="false">
      <c r="A32" s="1" t="n">
        <v>23</v>
      </c>
      <c r="B32" s="1" t="str">
        <f aca="false">IF(OWNER_INPUTS!B28="","",OWNER_INPUTS!B28)</f>
        <v/>
      </c>
      <c r="C32" s="1" t="str">
        <f aca="false">IF($B32="","",OWNER_INPUTS!C28)</f>
        <v/>
      </c>
      <c r="D32" s="1" t="str">
        <f aca="false">IF($B32="","",OWNER_INPUTS!D28)</f>
        <v/>
      </c>
      <c r="E32" s="1" t="str">
        <f aca="false">IF($B32="","",OWNER_INPUTS!G28)</f>
        <v/>
      </c>
      <c r="F32" s="30" t="str">
        <f aca="false">IF($B32="","",OWNER_INPUTS!F28-OWNER_INPUTS!E28)</f>
        <v/>
      </c>
      <c r="G32" s="30" t="str">
        <f aca="false">IF($B32="","",$E32*$F32)</f>
        <v/>
      </c>
      <c r="H32" s="57" t="str">
        <f aca="false">IF($B32="","",IF(OWNER_INPUTS!F28&gt;0,$F32/OWNER_INPUTS!F28,0))</f>
        <v/>
      </c>
      <c r="I32" s="1" t="str">
        <f aca="false">IF($B32="","",IF($E32&gt;=$B$5,"High","Low"))</f>
        <v/>
      </c>
      <c r="J32" s="1" t="str">
        <f aca="false">IF($B32="","",IF($H32&gt;=$B$6,"High","Low"))</f>
        <v/>
      </c>
      <c r="K32" s="1" t="str">
        <f aca="false">IF($B32="","",IF(AND($I32="High",$J32="High"),"Star",IF(AND($I32="High",$J32="Low"),"Plowhorse",IF(AND($I32="Low",$J32="High"),"Puzzle","Dog"))))</f>
        <v/>
      </c>
      <c r="L32" s="1" t="str">
        <f aca="false">IF($B32="","",IF($K32="Star","Hold / protect leadership",IF($K32="Plowhorse","Modest raise to capture margin",IF($K32="Puzzle","Reposition / promote / test premium","Consider removal or simplification"))))</f>
        <v/>
      </c>
      <c r="M32" s="1" t="str">
        <f aca="false">IF($B32="","",$K32&amp;" ("&amp;$I32&amp;" volume, "&amp;$J32&amp;" margin). "&amp;$L32&amp;".")</f>
        <v/>
      </c>
    </row>
    <row r="33" customFormat="false" ht="15" hidden="false" customHeight="true" outlineLevel="0" collapsed="false">
      <c r="A33" s="1" t="n">
        <v>24</v>
      </c>
      <c r="B33" s="1" t="str">
        <f aca="false">IF(OWNER_INPUTS!B29="","",OWNER_INPUTS!B29)</f>
        <v/>
      </c>
      <c r="C33" s="1" t="str">
        <f aca="false">IF($B33="","",OWNER_INPUTS!C29)</f>
        <v/>
      </c>
      <c r="D33" s="1" t="str">
        <f aca="false">IF($B33="","",OWNER_INPUTS!D29)</f>
        <v/>
      </c>
      <c r="E33" s="1" t="str">
        <f aca="false">IF($B33="","",OWNER_INPUTS!G29)</f>
        <v/>
      </c>
      <c r="F33" s="30" t="str">
        <f aca="false">IF($B33="","",OWNER_INPUTS!F29-OWNER_INPUTS!E29)</f>
        <v/>
      </c>
      <c r="G33" s="30" t="str">
        <f aca="false">IF($B33="","",$E33*$F33)</f>
        <v/>
      </c>
      <c r="H33" s="57" t="str">
        <f aca="false">IF($B33="","",IF(OWNER_INPUTS!F29&gt;0,$F33/OWNER_INPUTS!F29,0))</f>
        <v/>
      </c>
      <c r="I33" s="1" t="str">
        <f aca="false">IF($B33="","",IF($E33&gt;=$B$5,"High","Low"))</f>
        <v/>
      </c>
      <c r="J33" s="1" t="str">
        <f aca="false">IF($B33="","",IF($H33&gt;=$B$6,"High","Low"))</f>
        <v/>
      </c>
      <c r="K33" s="1" t="str">
        <f aca="false">IF($B33="","",IF(AND($I33="High",$J33="High"),"Star",IF(AND($I33="High",$J33="Low"),"Plowhorse",IF(AND($I33="Low",$J33="High"),"Puzzle","Dog"))))</f>
        <v/>
      </c>
      <c r="L33" s="1" t="str">
        <f aca="false">IF($B33="","",IF($K33="Star","Hold / protect leadership",IF($K33="Plowhorse","Modest raise to capture margin",IF($K33="Puzzle","Reposition / promote / test premium","Consider removal or simplification"))))</f>
        <v/>
      </c>
      <c r="M33" s="1" t="str">
        <f aca="false">IF($B33="","",$K33&amp;" ("&amp;$I33&amp;" volume, "&amp;$J33&amp;" margin). "&amp;$L33&amp;".")</f>
        <v/>
      </c>
    </row>
    <row r="34" customFormat="false" ht="15" hidden="false" customHeight="true" outlineLevel="0" collapsed="false">
      <c r="A34" s="1" t="n">
        <v>25</v>
      </c>
      <c r="B34" s="1" t="str">
        <f aca="false">IF(OWNER_INPUTS!B30="","",OWNER_INPUTS!B30)</f>
        <v/>
      </c>
      <c r="C34" s="1" t="str">
        <f aca="false">IF($B34="","",OWNER_INPUTS!C30)</f>
        <v/>
      </c>
      <c r="D34" s="1" t="str">
        <f aca="false">IF($B34="","",OWNER_INPUTS!D30)</f>
        <v/>
      </c>
      <c r="E34" s="1" t="str">
        <f aca="false">IF($B34="","",OWNER_INPUTS!G30)</f>
        <v/>
      </c>
      <c r="F34" s="30" t="str">
        <f aca="false">IF($B34="","",OWNER_INPUTS!F30-OWNER_INPUTS!E30)</f>
        <v/>
      </c>
      <c r="G34" s="30" t="str">
        <f aca="false">IF($B34="","",$E34*$F34)</f>
        <v/>
      </c>
      <c r="H34" s="57" t="str">
        <f aca="false">IF($B34="","",IF(OWNER_INPUTS!F30&gt;0,$F34/OWNER_INPUTS!F30,0))</f>
        <v/>
      </c>
      <c r="I34" s="1" t="str">
        <f aca="false">IF($B34="","",IF($E34&gt;=$B$5,"High","Low"))</f>
        <v/>
      </c>
      <c r="J34" s="1" t="str">
        <f aca="false">IF($B34="","",IF($H34&gt;=$B$6,"High","Low"))</f>
        <v/>
      </c>
      <c r="K34" s="1" t="str">
        <f aca="false">IF($B34="","",IF(AND($I34="High",$J34="High"),"Star",IF(AND($I34="High",$J34="Low"),"Plowhorse",IF(AND($I34="Low",$J34="High"),"Puzzle","Dog"))))</f>
        <v/>
      </c>
      <c r="L34" s="1" t="str">
        <f aca="false">IF($B34="","",IF($K34="Star","Hold / protect leadership",IF($K34="Plowhorse","Modest raise to capture margin",IF($K34="Puzzle","Reposition / promote / test premium","Consider removal or simplification"))))</f>
        <v/>
      </c>
      <c r="M34" s="1" t="str">
        <f aca="false">IF($B34="","",$K34&amp;" ("&amp;$I34&amp;" volume, "&amp;$J34&amp;" margin). "&amp;$L34&amp;".")</f>
        <v/>
      </c>
    </row>
    <row r="35" customFormat="false" ht="15" hidden="false" customHeight="true" outlineLevel="0" collapsed="false">
      <c r="A35" s="1" t="n">
        <v>26</v>
      </c>
      <c r="B35" s="1" t="str">
        <f aca="false">IF(OWNER_INPUTS!B31="","",OWNER_INPUTS!B31)</f>
        <v/>
      </c>
      <c r="C35" s="1" t="str">
        <f aca="false">IF($B35="","",OWNER_INPUTS!C31)</f>
        <v/>
      </c>
      <c r="D35" s="1" t="str">
        <f aca="false">IF($B35="","",OWNER_INPUTS!D31)</f>
        <v/>
      </c>
      <c r="E35" s="1" t="str">
        <f aca="false">IF($B35="","",OWNER_INPUTS!G31)</f>
        <v/>
      </c>
      <c r="F35" s="30" t="str">
        <f aca="false">IF($B35="","",OWNER_INPUTS!F31-OWNER_INPUTS!E31)</f>
        <v/>
      </c>
      <c r="G35" s="30" t="str">
        <f aca="false">IF($B35="","",$E35*$F35)</f>
        <v/>
      </c>
      <c r="H35" s="57" t="str">
        <f aca="false">IF($B35="","",IF(OWNER_INPUTS!F31&gt;0,$F35/OWNER_INPUTS!F31,0))</f>
        <v/>
      </c>
      <c r="I35" s="1" t="str">
        <f aca="false">IF($B35="","",IF($E35&gt;=$B$5,"High","Low"))</f>
        <v/>
      </c>
      <c r="J35" s="1" t="str">
        <f aca="false">IF($B35="","",IF($H35&gt;=$B$6,"High","Low"))</f>
        <v/>
      </c>
      <c r="K35" s="1" t="str">
        <f aca="false">IF($B35="","",IF(AND($I35="High",$J35="High"),"Star",IF(AND($I35="High",$J35="Low"),"Plowhorse",IF(AND($I35="Low",$J35="High"),"Puzzle","Dog"))))</f>
        <v/>
      </c>
      <c r="L35" s="1" t="str">
        <f aca="false">IF($B35="","",IF($K35="Star","Hold / protect leadership",IF($K35="Plowhorse","Modest raise to capture margin",IF($K35="Puzzle","Reposition / promote / test premium","Consider removal or simplification"))))</f>
        <v/>
      </c>
      <c r="M35" s="1" t="str">
        <f aca="false">IF($B35="","",$K35&amp;" ("&amp;$I35&amp;" volume, "&amp;$J35&amp;" margin). "&amp;$L35&amp;".")</f>
        <v/>
      </c>
    </row>
    <row r="36" customFormat="false" ht="15" hidden="false" customHeight="true" outlineLevel="0" collapsed="false">
      <c r="A36" s="1" t="n">
        <v>27</v>
      </c>
      <c r="B36" s="1" t="str">
        <f aca="false">IF(OWNER_INPUTS!B32="","",OWNER_INPUTS!B32)</f>
        <v/>
      </c>
      <c r="C36" s="1" t="str">
        <f aca="false">IF($B36="","",OWNER_INPUTS!C32)</f>
        <v/>
      </c>
      <c r="D36" s="1" t="str">
        <f aca="false">IF($B36="","",OWNER_INPUTS!D32)</f>
        <v/>
      </c>
      <c r="E36" s="1" t="str">
        <f aca="false">IF($B36="","",OWNER_INPUTS!G32)</f>
        <v/>
      </c>
      <c r="F36" s="30" t="str">
        <f aca="false">IF($B36="","",OWNER_INPUTS!F32-OWNER_INPUTS!E32)</f>
        <v/>
      </c>
      <c r="G36" s="30" t="str">
        <f aca="false">IF($B36="","",$E36*$F36)</f>
        <v/>
      </c>
      <c r="H36" s="57" t="str">
        <f aca="false">IF($B36="","",IF(OWNER_INPUTS!F32&gt;0,$F36/OWNER_INPUTS!F32,0))</f>
        <v/>
      </c>
      <c r="I36" s="1" t="str">
        <f aca="false">IF($B36="","",IF($E36&gt;=$B$5,"High","Low"))</f>
        <v/>
      </c>
      <c r="J36" s="1" t="str">
        <f aca="false">IF($B36="","",IF($H36&gt;=$B$6,"High","Low"))</f>
        <v/>
      </c>
      <c r="K36" s="1" t="str">
        <f aca="false">IF($B36="","",IF(AND($I36="High",$J36="High"),"Star",IF(AND($I36="High",$J36="Low"),"Plowhorse",IF(AND($I36="Low",$J36="High"),"Puzzle","Dog"))))</f>
        <v/>
      </c>
      <c r="L36" s="1" t="str">
        <f aca="false">IF($B36="","",IF($K36="Star","Hold / protect leadership",IF($K36="Plowhorse","Modest raise to capture margin",IF($K36="Puzzle","Reposition / promote / test premium","Consider removal or simplification"))))</f>
        <v/>
      </c>
      <c r="M36" s="1" t="str">
        <f aca="false">IF($B36="","",$K36&amp;" ("&amp;$I36&amp;" volume, "&amp;$J36&amp;" margin). "&amp;$L36&amp;".")</f>
        <v/>
      </c>
    </row>
    <row r="37" customFormat="false" ht="15" hidden="false" customHeight="true" outlineLevel="0" collapsed="false">
      <c r="A37" s="1" t="n">
        <v>28</v>
      </c>
      <c r="B37" s="1" t="str">
        <f aca="false">IF(OWNER_INPUTS!B33="","",OWNER_INPUTS!B33)</f>
        <v/>
      </c>
      <c r="C37" s="1" t="str">
        <f aca="false">IF($B37="","",OWNER_INPUTS!C33)</f>
        <v/>
      </c>
      <c r="D37" s="1" t="str">
        <f aca="false">IF($B37="","",OWNER_INPUTS!D33)</f>
        <v/>
      </c>
      <c r="E37" s="1" t="str">
        <f aca="false">IF($B37="","",OWNER_INPUTS!G33)</f>
        <v/>
      </c>
      <c r="F37" s="30" t="str">
        <f aca="false">IF($B37="","",OWNER_INPUTS!F33-OWNER_INPUTS!E33)</f>
        <v/>
      </c>
      <c r="G37" s="30" t="str">
        <f aca="false">IF($B37="","",$E37*$F37)</f>
        <v/>
      </c>
      <c r="H37" s="57" t="str">
        <f aca="false">IF($B37="","",IF(OWNER_INPUTS!F33&gt;0,$F37/OWNER_INPUTS!F33,0))</f>
        <v/>
      </c>
      <c r="I37" s="1" t="str">
        <f aca="false">IF($B37="","",IF($E37&gt;=$B$5,"High","Low"))</f>
        <v/>
      </c>
      <c r="J37" s="1" t="str">
        <f aca="false">IF($B37="","",IF($H37&gt;=$B$6,"High","Low"))</f>
        <v/>
      </c>
      <c r="K37" s="1" t="str">
        <f aca="false">IF($B37="","",IF(AND($I37="High",$J37="High"),"Star",IF(AND($I37="High",$J37="Low"),"Plowhorse",IF(AND($I37="Low",$J37="High"),"Puzzle","Dog"))))</f>
        <v/>
      </c>
      <c r="L37" s="1" t="str">
        <f aca="false">IF($B37="","",IF($K37="Star","Hold / protect leadership",IF($K37="Plowhorse","Modest raise to capture margin",IF($K37="Puzzle","Reposition / promote / test premium","Consider removal or simplification"))))</f>
        <v/>
      </c>
      <c r="M37" s="1" t="str">
        <f aca="false">IF($B37="","",$K37&amp;" ("&amp;$I37&amp;" volume, "&amp;$J37&amp;" margin). "&amp;$L37&amp;".")</f>
        <v/>
      </c>
    </row>
    <row r="38" customFormat="false" ht="15" hidden="false" customHeight="true" outlineLevel="0" collapsed="false">
      <c r="A38" s="1" t="n">
        <v>29</v>
      </c>
      <c r="B38" s="1" t="str">
        <f aca="false">IF(OWNER_INPUTS!B34="","",OWNER_INPUTS!B34)</f>
        <v/>
      </c>
      <c r="C38" s="1" t="str">
        <f aca="false">IF($B38="","",OWNER_INPUTS!C34)</f>
        <v/>
      </c>
      <c r="D38" s="1" t="str">
        <f aca="false">IF($B38="","",OWNER_INPUTS!D34)</f>
        <v/>
      </c>
      <c r="E38" s="1" t="str">
        <f aca="false">IF($B38="","",OWNER_INPUTS!G34)</f>
        <v/>
      </c>
      <c r="F38" s="30" t="str">
        <f aca="false">IF($B38="","",OWNER_INPUTS!F34-OWNER_INPUTS!E34)</f>
        <v/>
      </c>
      <c r="G38" s="30" t="str">
        <f aca="false">IF($B38="","",$E38*$F38)</f>
        <v/>
      </c>
      <c r="H38" s="57" t="str">
        <f aca="false">IF($B38="","",IF(OWNER_INPUTS!F34&gt;0,$F38/OWNER_INPUTS!F34,0))</f>
        <v/>
      </c>
      <c r="I38" s="1" t="str">
        <f aca="false">IF($B38="","",IF($E38&gt;=$B$5,"High","Low"))</f>
        <v/>
      </c>
      <c r="J38" s="1" t="str">
        <f aca="false">IF($B38="","",IF($H38&gt;=$B$6,"High","Low"))</f>
        <v/>
      </c>
      <c r="K38" s="1" t="str">
        <f aca="false">IF($B38="","",IF(AND($I38="High",$J38="High"),"Star",IF(AND($I38="High",$J38="Low"),"Plowhorse",IF(AND($I38="Low",$J38="High"),"Puzzle","Dog"))))</f>
        <v/>
      </c>
      <c r="L38" s="1" t="str">
        <f aca="false">IF($B38="","",IF($K38="Star","Hold / protect leadership",IF($K38="Plowhorse","Modest raise to capture margin",IF($K38="Puzzle","Reposition / promote / test premium","Consider removal or simplification"))))</f>
        <v/>
      </c>
      <c r="M38" s="1" t="str">
        <f aca="false">IF($B38="","",$K38&amp;" ("&amp;$I38&amp;" volume, "&amp;$J38&amp;" margin). "&amp;$L38&amp;".")</f>
        <v/>
      </c>
    </row>
    <row r="39" customFormat="false" ht="15" hidden="false" customHeight="true" outlineLevel="0" collapsed="false">
      <c r="A39" s="1" t="n">
        <v>30</v>
      </c>
      <c r="B39" s="1" t="str">
        <f aca="false">IF(OWNER_INPUTS!B35="","",OWNER_INPUTS!B35)</f>
        <v/>
      </c>
      <c r="C39" s="1" t="str">
        <f aca="false">IF($B39="","",OWNER_INPUTS!C35)</f>
        <v/>
      </c>
      <c r="D39" s="1" t="str">
        <f aca="false">IF($B39="","",OWNER_INPUTS!D35)</f>
        <v/>
      </c>
      <c r="E39" s="1" t="str">
        <f aca="false">IF($B39="","",OWNER_INPUTS!G35)</f>
        <v/>
      </c>
      <c r="F39" s="30" t="str">
        <f aca="false">IF($B39="","",OWNER_INPUTS!F35-OWNER_INPUTS!E35)</f>
        <v/>
      </c>
      <c r="G39" s="30" t="str">
        <f aca="false">IF($B39="","",$E39*$F39)</f>
        <v/>
      </c>
      <c r="H39" s="57" t="str">
        <f aca="false">IF($B39="","",IF(OWNER_INPUTS!F35&gt;0,$F39/OWNER_INPUTS!F35,0))</f>
        <v/>
      </c>
      <c r="I39" s="1" t="str">
        <f aca="false">IF($B39="","",IF($E39&gt;=$B$5,"High","Low"))</f>
        <v/>
      </c>
      <c r="J39" s="1" t="str">
        <f aca="false">IF($B39="","",IF($H39&gt;=$B$6,"High","Low"))</f>
        <v/>
      </c>
      <c r="K39" s="1" t="str">
        <f aca="false">IF($B39="","",IF(AND($I39="High",$J39="High"),"Star",IF(AND($I39="High",$J39="Low"),"Plowhorse",IF(AND($I39="Low",$J39="High"),"Puzzle","Dog"))))</f>
        <v/>
      </c>
      <c r="L39" s="1" t="str">
        <f aca="false">IF($B39="","",IF($K39="Star","Hold / protect leadership",IF($K39="Plowhorse","Modest raise to capture margin",IF($K39="Puzzle","Reposition / promote / test premium","Consider removal or simplification"))))</f>
        <v/>
      </c>
      <c r="M39" s="1" t="str">
        <f aca="false">IF($B39="","",$K39&amp;" ("&amp;$I39&amp;" volume, "&amp;$J39&amp;" margin). "&amp;$L39&amp;".")</f>
        <v/>
      </c>
    </row>
    <row r="40" customFormat="false" ht="15" hidden="false" customHeight="true" outlineLevel="0" collapsed="false">
      <c r="D40" s="24" t="s">
        <v>224</v>
      </c>
      <c r="E40" s="24" t="n">
        <f aca="false">COUNTIF($K$10:$K$39,"Star")</f>
        <v>2</v>
      </c>
    </row>
    <row r="41" customFormat="false" ht="15" hidden="false" customHeight="true" outlineLevel="0" collapsed="false">
      <c r="D41" s="24" t="s">
        <v>225</v>
      </c>
      <c r="E41" s="24" t="n">
        <f aca="false">COUNTIF($K$10:$K$39,"Plowhorse")</f>
        <v>1</v>
      </c>
    </row>
    <row r="42" customFormat="false" ht="15" hidden="false" customHeight="true" outlineLevel="0" collapsed="false">
      <c r="D42" s="24" t="s">
        <v>226</v>
      </c>
      <c r="E42" s="24" t="n">
        <f aca="false">COUNTIF($K$10:$K$39,"Puzzle")</f>
        <v>1</v>
      </c>
    </row>
    <row r="43" customFormat="false" ht="15" hidden="false" customHeight="true" outlineLevel="0" collapsed="false">
      <c r="D43" s="24" t="s">
        <v>227</v>
      </c>
      <c r="E43" s="24" t="n">
        <f aca="false">COUNTIF($K$10:$K$39,"Dog")</f>
        <v>2</v>
      </c>
    </row>
    <row r="44" customFormat="false" ht="15" hidden="false" customHeight="true" outlineLevel="0" collapsed="false">
      <c r="D44" s="24" t="s">
        <v>228</v>
      </c>
      <c r="E44" s="51" t="n">
        <f aca="false">SUMPRODUCT(--(LEN($B$10:$B$39)&gt;0))</f>
        <v>6</v>
      </c>
    </row>
    <row r="45" customFormat="false" ht="15" hidden="false" customHeight="true" outlineLevel="0" collapsed="false">
      <c r="D45" s="24" t="s">
        <v>229</v>
      </c>
      <c r="E45" s="58" t="str">
        <f aca="false">IF($E$40+$E$41+$E$42+$E$43=0,"No items configured",IF(($E$43/($E$40+$E$41+$E$42+$E$43))&gt;0.3,"DOG-HEAVY — consider menu simplification",IF(($E$40+$E$41)/($E$40+$E$41+$E$42+$E$43)&gt;=0.6,"BALANCED — popular items dominate","PUZZLE-HEAVY — many low-volume items, opportunity for promotion")))</f>
        <v>DOG-HEAVY — consider menu simplification</v>
      </c>
      <c r="F45" s="58"/>
      <c r="G45" s="58"/>
      <c r="H45" s="58"/>
      <c r="I45" s="58"/>
      <c r="J45" s="58"/>
      <c r="K45" s="58"/>
      <c r="L45" s="58"/>
      <c r="M45" s="58"/>
    </row>
  </sheetData>
  <mergeCells count="2">
    <mergeCell ref="A3:M3"/>
    <mergeCell ref="E45:M45"/>
  </mergeCells>
  <conditionalFormatting sqref="A10:M39">
    <cfRule type="expression" priority="2" aboveAverage="0" equalAverage="0" bottom="0" percent="0" rank="0" text="" dxfId="2">
      <formula>$K10="Star"</formula>
    </cfRule>
    <cfRule type="expression" priority="3" aboveAverage="0" equalAverage="0" bottom="0" percent="0" rank="0" text="" dxfId="8">
      <formula>$K10="Plowhorse"</formula>
    </cfRule>
    <cfRule type="expression" priority="4" aboveAverage="0" equalAverage="0" bottom="0" percent="0" rank="0" text="" dxfId="9">
      <formula>$K10="Puzzle"</formula>
    </cfRule>
    <cfRule type="expression" priority="5" aboveAverage="0" equalAverage="0" bottom="0" percent="0" rank="0" text="" dxfId="0">
      <formula>$K10="Dog"</formula>
    </cfRule>
  </conditionalFormatting>
  <printOptions headings="false" gridLines="false" gridLinesSet="true" horizontalCentered="false" verticalCentered="false"/>
  <pageMargins left="0.5" right="0.5"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A1:M5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6"/>
    <col collapsed="false" customWidth="true" hidden="false" outlineLevel="0" max="3" min="3" style="1" width="9"/>
    <col collapsed="false" customWidth="true" hidden="false" outlineLevel="0" max="4" min="4" style="1" width="18"/>
    <col collapsed="false" customWidth="true" hidden="false" outlineLevel="0" max="5" min="5" style="1" width="10"/>
    <col collapsed="false" customWidth="true" hidden="false" outlineLevel="0" max="7" min="6" style="1" width="12"/>
    <col collapsed="false" customWidth="true" hidden="false" outlineLevel="0" max="8" min="8" style="1" width="10"/>
    <col collapsed="false" customWidth="true" hidden="false" outlineLevel="0" max="9" min="9" style="1" width="12"/>
    <col collapsed="false" customWidth="true" hidden="false" outlineLevel="0" max="10" min="10" style="1" width="11"/>
    <col collapsed="false" customWidth="true" hidden="false" outlineLevel="0" max="11" min="11" style="1" width="12"/>
    <col collapsed="false" customWidth="true" hidden="false" outlineLevel="0" max="13" min="12" style="1" width="11"/>
  </cols>
  <sheetData>
    <row r="1" customFormat="false" ht="25.5" hidden="false" customHeight="true" outlineLevel="0" collapsed="false">
      <c r="A1" s="2" t="s">
        <v>230</v>
      </c>
      <c r="B1" s="2"/>
      <c r="C1" s="2"/>
      <c r="D1" s="2"/>
      <c r="E1" s="2"/>
      <c r="F1" s="2"/>
      <c r="G1" s="2"/>
      <c r="H1" s="2"/>
      <c r="I1" s="2"/>
      <c r="J1" s="2"/>
    </row>
    <row r="3" customFormat="false" ht="60" hidden="false" customHeight="true" outlineLevel="0" collapsed="false">
      <c r="A3" s="59" t="s">
        <v>231</v>
      </c>
      <c r="B3" s="59"/>
      <c r="C3" s="59"/>
      <c r="D3" s="59"/>
      <c r="E3" s="59"/>
      <c r="F3" s="59"/>
      <c r="G3" s="59"/>
      <c r="H3" s="59"/>
      <c r="I3" s="59"/>
      <c r="J3" s="59"/>
      <c r="K3" s="59"/>
      <c r="L3" s="59"/>
      <c r="M3" s="59"/>
    </row>
    <row r="5" customFormat="false" ht="26.25" hidden="false" customHeight="true" outlineLevel="0" collapsed="false">
      <c r="A5" s="14" t="s">
        <v>232</v>
      </c>
      <c r="B5" s="14" t="s">
        <v>233</v>
      </c>
      <c r="C5" s="14" t="s">
        <v>234</v>
      </c>
      <c r="D5" s="14" t="s">
        <v>104</v>
      </c>
      <c r="E5" s="14" t="s">
        <v>235</v>
      </c>
      <c r="F5" s="14" t="s">
        <v>236</v>
      </c>
      <c r="G5" s="14" t="s">
        <v>237</v>
      </c>
      <c r="H5" s="14" t="s">
        <v>238</v>
      </c>
      <c r="I5" s="14" t="s">
        <v>239</v>
      </c>
      <c r="J5" s="14" t="s">
        <v>240</v>
      </c>
      <c r="K5" s="14" t="s">
        <v>241</v>
      </c>
      <c r="L5" s="14" t="s">
        <v>242</v>
      </c>
      <c r="M5" s="14" t="s">
        <v>243</v>
      </c>
    </row>
    <row r="6" customFormat="false" ht="15" hidden="false" customHeight="true" outlineLevel="0" collapsed="false">
      <c r="A6" s="60" t="n">
        <v>1</v>
      </c>
      <c r="B6" s="60" t="n">
        <v>1</v>
      </c>
      <c r="C6" s="60" t="s">
        <v>244</v>
      </c>
      <c r="D6" s="60" t="s">
        <v>67</v>
      </c>
      <c r="E6" s="60" t="s">
        <v>245</v>
      </c>
      <c r="F6" s="61" t="n">
        <v>4.62</v>
      </c>
      <c r="G6" s="61" t="n">
        <v>4.2</v>
      </c>
      <c r="H6" s="60" t="n">
        <v>53</v>
      </c>
      <c r="I6" s="62" t="n">
        <f aca="false">IFERROR(F6*H6,"")</f>
        <v>244.86</v>
      </c>
      <c r="J6" s="60" t="n">
        <v>1</v>
      </c>
      <c r="K6" s="62" t="n">
        <f aca="false">IFERROR((F6-J6)*H6,"")</f>
        <v>191.86</v>
      </c>
      <c r="L6" s="63" t="n">
        <f aca="false">IFERROR(IF(F6&gt;0,LN(F6),""),"")</f>
        <v>1.53039470509365</v>
      </c>
      <c r="M6" s="63" t="n">
        <f aca="false">IFERROR(IF(H6&gt;0,LN(H6),""),"")</f>
        <v>3.97029191355212</v>
      </c>
    </row>
    <row r="7" customFormat="false" ht="15" hidden="false" customHeight="true" outlineLevel="0" collapsed="false">
      <c r="A7" s="60" t="n">
        <v>2</v>
      </c>
      <c r="B7" s="60" t="n">
        <v>2</v>
      </c>
      <c r="C7" s="60" t="s">
        <v>244</v>
      </c>
      <c r="D7" s="60" t="s">
        <v>67</v>
      </c>
      <c r="E7" s="60" t="s">
        <v>245</v>
      </c>
      <c r="F7" s="61" t="n">
        <v>3.99</v>
      </c>
      <c r="G7" s="61" t="n">
        <v>4.2</v>
      </c>
      <c r="H7" s="60" t="n">
        <v>63</v>
      </c>
      <c r="I7" s="62" t="n">
        <f aca="false">IFERROR(F7*H7,"")</f>
        <v>251.37</v>
      </c>
      <c r="J7" s="60" t="n">
        <v>1</v>
      </c>
      <c r="K7" s="62" t="n">
        <f aca="false">IFERROR((F7-J7)*H7,"")</f>
        <v>188.37</v>
      </c>
      <c r="L7" s="63" t="n">
        <f aca="false">IFERROR(IF(F7&gt;0,LN(F7),""),"")</f>
        <v>1.38379123090177</v>
      </c>
      <c r="M7" s="63" t="n">
        <f aca="false">IFERROR(IF(H7&gt;0,LN(H7),""),"")</f>
        <v>4.14313472639153</v>
      </c>
    </row>
    <row r="8" customFormat="false" ht="15" hidden="false" customHeight="true" outlineLevel="0" collapsed="false">
      <c r="A8" s="60" t="n">
        <v>3</v>
      </c>
      <c r="B8" s="60" t="n">
        <v>3</v>
      </c>
      <c r="C8" s="60" t="s">
        <v>244</v>
      </c>
      <c r="D8" s="60" t="s">
        <v>67</v>
      </c>
      <c r="E8" s="60" t="s">
        <v>245</v>
      </c>
      <c r="F8" s="61" t="n">
        <v>3.99</v>
      </c>
      <c r="G8" s="61" t="n">
        <v>4.2</v>
      </c>
      <c r="H8" s="60" t="n">
        <v>56</v>
      </c>
      <c r="I8" s="62" t="n">
        <f aca="false">IFERROR(F8*H8,"")</f>
        <v>223.44</v>
      </c>
      <c r="J8" s="60" t="n">
        <v>1</v>
      </c>
      <c r="K8" s="62" t="n">
        <f aca="false">IFERROR((F8-J8)*H8,"")</f>
        <v>167.44</v>
      </c>
      <c r="L8" s="63" t="n">
        <f aca="false">IFERROR(IF(F8&gt;0,LN(F8),""),"")</f>
        <v>1.38379123090177</v>
      </c>
      <c r="M8" s="63" t="n">
        <f aca="false">IFERROR(IF(H8&gt;0,LN(H8),""),"")</f>
        <v>4.02535169073515</v>
      </c>
    </row>
    <row r="9" customFormat="false" ht="15" hidden="false" customHeight="true" outlineLevel="0" collapsed="false">
      <c r="A9" s="60" t="n">
        <v>4</v>
      </c>
      <c r="B9" s="60" t="n">
        <v>4</v>
      </c>
      <c r="C9" s="60" t="s">
        <v>244</v>
      </c>
      <c r="D9" s="60" t="s">
        <v>67</v>
      </c>
      <c r="E9" s="60" t="s">
        <v>245</v>
      </c>
      <c r="F9" s="61" t="n">
        <v>4.62</v>
      </c>
      <c r="G9" s="61" t="n">
        <v>4.2</v>
      </c>
      <c r="H9" s="60" t="n">
        <v>47</v>
      </c>
      <c r="I9" s="62" t="n">
        <f aca="false">IFERROR(F9*H9,"")</f>
        <v>217.14</v>
      </c>
      <c r="J9" s="60" t="n">
        <v>1</v>
      </c>
      <c r="K9" s="62" t="n">
        <f aca="false">IFERROR((F9-J9)*H9,"")</f>
        <v>170.14</v>
      </c>
      <c r="L9" s="63" t="n">
        <f aca="false">IFERROR(IF(F9&gt;0,LN(F9),""),"")</f>
        <v>1.53039470509365</v>
      </c>
      <c r="M9" s="63" t="n">
        <f aca="false">IFERROR(IF(H9&gt;0,LN(H9),""),"")</f>
        <v>3.85014760171006</v>
      </c>
    </row>
    <row r="10" customFormat="false" ht="15" hidden="false" customHeight="true" outlineLevel="0" collapsed="false">
      <c r="A10" s="60" t="n">
        <v>5</v>
      </c>
      <c r="B10" s="60" t="n">
        <v>5</v>
      </c>
      <c r="C10" s="60" t="s">
        <v>244</v>
      </c>
      <c r="D10" s="60" t="s">
        <v>67</v>
      </c>
      <c r="E10" s="60" t="s">
        <v>245</v>
      </c>
      <c r="F10" s="61" t="n">
        <v>4.41</v>
      </c>
      <c r="G10" s="61" t="n">
        <v>4.2</v>
      </c>
      <c r="H10" s="60" t="n">
        <v>54</v>
      </c>
      <c r="I10" s="62" t="n">
        <f aca="false">IFERROR(F10*H10,"")</f>
        <v>238.14</v>
      </c>
      <c r="J10" s="60" t="n">
        <v>1</v>
      </c>
      <c r="K10" s="62" t="n">
        <f aca="false">IFERROR((F10-J10)*H10,"")</f>
        <v>184.14</v>
      </c>
      <c r="L10" s="63" t="n">
        <f aca="false">IFERROR(IF(F10&gt;0,LN(F10),""),"")</f>
        <v>1.48387468945875</v>
      </c>
      <c r="M10" s="63" t="n">
        <f aca="false">IFERROR(IF(H10&gt;0,LN(H10),""),"")</f>
        <v>3.98898404656427</v>
      </c>
    </row>
    <row r="11" customFormat="false" ht="15" hidden="false" customHeight="true" outlineLevel="0" collapsed="false">
      <c r="A11" s="60" t="n">
        <v>6</v>
      </c>
      <c r="B11" s="60" t="n">
        <v>6</v>
      </c>
      <c r="C11" s="60" t="s">
        <v>244</v>
      </c>
      <c r="D11" s="60" t="s">
        <v>67</v>
      </c>
      <c r="E11" s="60" t="s">
        <v>245</v>
      </c>
      <c r="F11" s="61" t="n">
        <v>3.78</v>
      </c>
      <c r="G11" s="61" t="n">
        <v>4.2</v>
      </c>
      <c r="H11" s="60" t="n">
        <v>62</v>
      </c>
      <c r="I11" s="62" t="n">
        <f aca="false">IFERROR(F11*H11,"")</f>
        <v>234.36</v>
      </c>
      <c r="J11" s="60" t="n">
        <v>1</v>
      </c>
      <c r="K11" s="62" t="n">
        <f aca="false">IFERROR((F11-J11)*H11,"")</f>
        <v>172.36</v>
      </c>
      <c r="L11" s="63" t="n">
        <f aca="false">IFERROR(IF(F11&gt;0,LN(F11),""),"")</f>
        <v>1.3297240096315</v>
      </c>
      <c r="M11" s="63" t="n">
        <f aca="false">IFERROR(IF(H11&gt;0,LN(H11),""),"")</f>
        <v>4.12713438504509</v>
      </c>
    </row>
    <row r="12" customFormat="false" ht="15" hidden="false" customHeight="true" outlineLevel="0" collapsed="false">
      <c r="A12" s="60" t="n">
        <v>7</v>
      </c>
      <c r="B12" s="60" t="n">
        <v>7</v>
      </c>
      <c r="C12" s="60" t="s">
        <v>244</v>
      </c>
      <c r="D12" s="60" t="s">
        <v>67</v>
      </c>
      <c r="E12" s="60" t="s">
        <v>245</v>
      </c>
      <c r="F12" s="61" t="n">
        <v>3.78</v>
      </c>
      <c r="G12" s="61" t="n">
        <v>4.2</v>
      </c>
      <c r="H12" s="60" t="n">
        <v>59</v>
      </c>
      <c r="I12" s="62" t="n">
        <f aca="false">IFERROR(F12*H12,"")</f>
        <v>223.02</v>
      </c>
      <c r="J12" s="60" t="n">
        <v>1</v>
      </c>
      <c r="K12" s="62" t="n">
        <f aca="false">IFERROR((F12-J12)*H12,"")</f>
        <v>164.02</v>
      </c>
      <c r="L12" s="63" t="n">
        <f aca="false">IFERROR(IF(F12&gt;0,LN(F12),""),"")</f>
        <v>1.3297240096315</v>
      </c>
      <c r="M12" s="63" t="n">
        <f aca="false">IFERROR(IF(H12&gt;0,LN(H12),""),"")</f>
        <v>4.07753744390572</v>
      </c>
    </row>
    <row r="13" customFormat="false" ht="15" hidden="false" customHeight="true" outlineLevel="0" collapsed="false">
      <c r="A13" s="60" t="n">
        <v>8</v>
      </c>
      <c r="B13" s="60" t="n">
        <v>1</v>
      </c>
      <c r="C13" s="60" t="s">
        <v>244</v>
      </c>
      <c r="D13" s="60" t="s">
        <v>67</v>
      </c>
      <c r="E13" s="60" t="s">
        <v>245</v>
      </c>
      <c r="F13" s="61" t="n">
        <v>3.78</v>
      </c>
      <c r="G13" s="61" t="n">
        <v>4.2</v>
      </c>
      <c r="H13" s="60" t="n">
        <v>68</v>
      </c>
      <c r="I13" s="62" t="n">
        <f aca="false">IFERROR(F13*H13,"")</f>
        <v>257.04</v>
      </c>
      <c r="J13" s="60" t="n">
        <v>1</v>
      </c>
      <c r="K13" s="62" t="n">
        <f aca="false">IFERROR((F13-J13)*H13,"")</f>
        <v>189.04</v>
      </c>
      <c r="L13" s="63" t="n">
        <f aca="false">IFERROR(IF(F13&gt;0,LN(F13),""),"")</f>
        <v>1.3297240096315</v>
      </c>
      <c r="M13" s="63" t="n">
        <f aca="false">IFERROR(IF(H13&gt;0,LN(H13),""),"")</f>
        <v>4.21950770517611</v>
      </c>
    </row>
    <row r="14" customFormat="false" ht="15" hidden="false" customHeight="true" outlineLevel="0" collapsed="false">
      <c r="A14" s="60" t="n">
        <v>9</v>
      </c>
      <c r="B14" s="60" t="n">
        <v>2</v>
      </c>
      <c r="C14" s="60" t="s">
        <v>244</v>
      </c>
      <c r="D14" s="60" t="s">
        <v>67</v>
      </c>
      <c r="E14" s="60" t="s">
        <v>245</v>
      </c>
      <c r="F14" s="61" t="n">
        <v>4.41</v>
      </c>
      <c r="G14" s="61" t="n">
        <v>4.2</v>
      </c>
      <c r="H14" s="60" t="n">
        <v>50</v>
      </c>
      <c r="I14" s="62" t="n">
        <f aca="false">IFERROR(F14*H14,"")</f>
        <v>220.5</v>
      </c>
      <c r="J14" s="60" t="n">
        <v>1</v>
      </c>
      <c r="K14" s="62" t="n">
        <f aca="false">IFERROR((F14-J14)*H14,"")</f>
        <v>170.5</v>
      </c>
      <c r="L14" s="63" t="n">
        <f aca="false">IFERROR(IF(F14&gt;0,LN(F14),""),"")</f>
        <v>1.48387468945875</v>
      </c>
      <c r="M14" s="63" t="n">
        <f aca="false">IFERROR(IF(H14&gt;0,LN(H14),""),"")</f>
        <v>3.91202300542815</v>
      </c>
    </row>
    <row r="15" customFormat="false" ht="15" hidden="false" customHeight="true" outlineLevel="0" collapsed="false">
      <c r="A15" s="60" t="n">
        <v>10</v>
      </c>
      <c r="B15" s="60" t="n">
        <v>3</v>
      </c>
      <c r="C15" s="60" t="s">
        <v>244</v>
      </c>
      <c r="D15" s="60" t="s">
        <v>67</v>
      </c>
      <c r="E15" s="60" t="s">
        <v>245</v>
      </c>
      <c r="F15" s="61" t="n">
        <v>4.41</v>
      </c>
      <c r="G15" s="61" t="n">
        <v>4.2</v>
      </c>
      <c r="H15" s="60" t="n">
        <v>58</v>
      </c>
      <c r="I15" s="62" t="n">
        <f aca="false">IFERROR(F15*H15,"")</f>
        <v>255.78</v>
      </c>
      <c r="J15" s="60" t="n">
        <v>1</v>
      </c>
      <c r="K15" s="62" t="n">
        <f aca="false">IFERROR((F15-J15)*H15,"")</f>
        <v>197.78</v>
      </c>
      <c r="L15" s="63" t="n">
        <f aca="false">IFERROR(IF(F15&gt;0,LN(F15),""),"")</f>
        <v>1.48387468945875</v>
      </c>
      <c r="M15" s="63" t="n">
        <f aca="false">IFERROR(IF(H15&gt;0,LN(H15),""),"")</f>
        <v>4.06044301054642</v>
      </c>
    </row>
    <row r="16" customFormat="false" ht="15" hidden="false" customHeight="true" outlineLevel="0" collapsed="false">
      <c r="A16" s="60" t="n">
        <v>11</v>
      </c>
      <c r="B16" s="60" t="n">
        <v>4</v>
      </c>
      <c r="C16" s="60" t="s">
        <v>244</v>
      </c>
      <c r="D16" s="60" t="s">
        <v>67</v>
      </c>
      <c r="E16" s="60" t="s">
        <v>245</v>
      </c>
      <c r="F16" s="61" t="n">
        <v>4.2</v>
      </c>
      <c r="G16" s="61" t="n">
        <v>4.2</v>
      </c>
      <c r="H16" s="60" t="n">
        <v>52</v>
      </c>
      <c r="I16" s="62" t="n">
        <f aca="false">IFERROR(F16*H16,"")</f>
        <v>218.4</v>
      </c>
      <c r="J16" s="60" t="n">
        <v>1</v>
      </c>
      <c r="K16" s="62" t="n">
        <f aca="false">IFERROR((F16-J16)*H16,"")</f>
        <v>166.4</v>
      </c>
      <c r="L16" s="63" t="n">
        <f aca="false">IFERROR(IF(F16&gt;0,LN(F16),""),"")</f>
        <v>1.43508452528932</v>
      </c>
      <c r="M16" s="63" t="n">
        <f aca="false">IFERROR(IF(H16&gt;0,LN(H16),""),"")</f>
        <v>3.95124371858143</v>
      </c>
    </row>
    <row r="17" customFormat="false" ht="15" hidden="false" customHeight="true" outlineLevel="0" collapsed="false">
      <c r="A17" s="60" t="n">
        <v>12</v>
      </c>
      <c r="B17" s="60" t="n">
        <v>5</v>
      </c>
      <c r="C17" s="60" t="s">
        <v>244</v>
      </c>
      <c r="D17" s="60" t="s">
        <v>67</v>
      </c>
      <c r="E17" s="60" t="s">
        <v>245</v>
      </c>
      <c r="F17" s="61" t="n">
        <v>3.78</v>
      </c>
      <c r="G17" s="61" t="n">
        <v>4.2</v>
      </c>
      <c r="H17" s="60" t="n">
        <v>70</v>
      </c>
      <c r="I17" s="62" t="n">
        <f aca="false">IFERROR(F17*H17,"")</f>
        <v>264.6</v>
      </c>
      <c r="J17" s="60" t="n">
        <v>1</v>
      </c>
      <c r="K17" s="62" t="n">
        <f aca="false">IFERROR((F17-J17)*H17,"")</f>
        <v>194.6</v>
      </c>
      <c r="L17" s="63" t="n">
        <f aca="false">IFERROR(IF(F17&gt;0,LN(F17),""),"")</f>
        <v>1.3297240096315</v>
      </c>
      <c r="M17" s="63" t="n">
        <f aca="false">IFERROR(IF(H17&gt;0,LN(H17),""),"")</f>
        <v>4.24849524204936</v>
      </c>
    </row>
    <row r="18" customFormat="false" ht="15" hidden="false" customHeight="true" outlineLevel="0" collapsed="false">
      <c r="A18" s="60" t="n">
        <v>13</v>
      </c>
      <c r="B18" s="60" t="n">
        <v>6</v>
      </c>
      <c r="C18" s="60" t="s">
        <v>244</v>
      </c>
      <c r="D18" s="60" t="s">
        <v>67</v>
      </c>
      <c r="E18" s="60" t="s">
        <v>245</v>
      </c>
      <c r="F18" s="61" t="n">
        <v>3.99</v>
      </c>
      <c r="G18" s="61" t="n">
        <v>4.2</v>
      </c>
      <c r="H18" s="60" t="n">
        <v>51</v>
      </c>
      <c r="I18" s="62" t="n">
        <f aca="false">IFERROR(F18*H18,"")</f>
        <v>203.49</v>
      </c>
      <c r="J18" s="60" t="n">
        <v>1</v>
      </c>
      <c r="K18" s="62" t="n">
        <f aca="false">IFERROR((F18-J18)*H18,"")</f>
        <v>152.49</v>
      </c>
      <c r="L18" s="63" t="n">
        <f aca="false">IFERROR(IF(F18&gt;0,LN(F18),""),"")</f>
        <v>1.38379123090177</v>
      </c>
      <c r="M18" s="63" t="n">
        <f aca="false">IFERROR(IF(H18&gt;0,LN(H18),""),"")</f>
        <v>3.93182563272433</v>
      </c>
    </row>
    <row r="19" customFormat="false" ht="15" hidden="false" customHeight="true" outlineLevel="0" collapsed="false">
      <c r="A19" s="60" t="n">
        <v>14</v>
      </c>
      <c r="B19" s="60" t="n">
        <v>7</v>
      </c>
      <c r="C19" s="60" t="s">
        <v>244</v>
      </c>
      <c r="D19" s="60" t="s">
        <v>67</v>
      </c>
      <c r="E19" s="60" t="s">
        <v>245</v>
      </c>
      <c r="F19" s="61" t="n">
        <v>3.99</v>
      </c>
      <c r="G19" s="61" t="n">
        <v>4.2</v>
      </c>
      <c r="H19" s="60" t="n">
        <v>47</v>
      </c>
      <c r="I19" s="62" t="n">
        <f aca="false">IFERROR(F19*H19,"")</f>
        <v>187.53</v>
      </c>
      <c r="J19" s="60" t="n">
        <v>1</v>
      </c>
      <c r="K19" s="62" t="n">
        <f aca="false">IFERROR((F19-J19)*H19,"")</f>
        <v>140.53</v>
      </c>
      <c r="L19" s="63" t="n">
        <f aca="false">IFERROR(IF(F19&gt;0,LN(F19),""),"")</f>
        <v>1.38379123090177</v>
      </c>
      <c r="M19" s="63" t="n">
        <f aca="false">IFERROR(IF(H19&gt;0,LN(H19),""),"")</f>
        <v>3.85014760171006</v>
      </c>
    </row>
    <row r="20" customFormat="false" ht="15" hidden="false" customHeight="true" outlineLevel="0" collapsed="false">
      <c r="A20" s="60" t="n">
        <v>15</v>
      </c>
      <c r="B20" s="60" t="n">
        <v>1</v>
      </c>
      <c r="C20" s="60" t="s">
        <v>244</v>
      </c>
      <c r="D20" s="60" t="s">
        <v>67</v>
      </c>
      <c r="E20" s="60" t="s">
        <v>245</v>
      </c>
      <c r="F20" s="61" t="n">
        <v>3.99</v>
      </c>
      <c r="G20" s="61" t="n">
        <v>4.2</v>
      </c>
      <c r="H20" s="60" t="n">
        <v>61</v>
      </c>
      <c r="I20" s="62" t="n">
        <f aca="false">IFERROR(F20*H20,"")</f>
        <v>243.39</v>
      </c>
      <c r="J20" s="60" t="n">
        <v>1</v>
      </c>
      <c r="K20" s="62" t="n">
        <f aca="false">IFERROR((F20-J20)*H20,"")</f>
        <v>182.39</v>
      </c>
      <c r="L20" s="63" t="n">
        <f aca="false">IFERROR(IF(F20&gt;0,LN(F20),""),"")</f>
        <v>1.38379123090177</v>
      </c>
      <c r="M20" s="63" t="n">
        <f aca="false">IFERROR(IF(H20&gt;0,LN(H20),""),"")</f>
        <v>4.11087386417331</v>
      </c>
    </row>
    <row r="21" customFormat="false" ht="15" hidden="false" customHeight="true" outlineLevel="0" collapsed="false">
      <c r="A21" s="60" t="n">
        <v>16</v>
      </c>
      <c r="B21" s="60" t="n">
        <v>2</v>
      </c>
      <c r="C21" s="60" t="s">
        <v>244</v>
      </c>
      <c r="D21" s="60" t="s">
        <v>67</v>
      </c>
      <c r="E21" s="60" t="s">
        <v>245</v>
      </c>
      <c r="F21" s="61" t="n">
        <v>3.78</v>
      </c>
      <c r="G21" s="61" t="n">
        <v>4.2</v>
      </c>
      <c r="H21" s="60" t="n">
        <v>55</v>
      </c>
      <c r="I21" s="62" t="n">
        <f aca="false">IFERROR(F21*H21,"")</f>
        <v>207.9</v>
      </c>
      <c r="J21" s="60" t="n">
        <v>1</v>
      </c>
      <c r="K21" s="62" t="n">
        <f aca="false">IFERROR((F21-J21)*H21,"")</f>
        <v>152.9</v>
      </c>
      <c r="L21" s="63" t="n">
        <f aca="false">IFERROR(IF(F21&gt;0,LN(F21),""),"")</f>
        <v>1.3297240096315</v>
      </c>
      <c r="M21" s="63" t="n">
        <f aca="false">IFERROR(IF(H21&gt;0,LN(H21),""),"")</f>
        <v>4.00733318523247</v>
      </c>
    </row>
    <row r="22" customFormat="false" ht="15" hidden="false" customHeight="true" outlineLevel="0" collapsed="false">
      <c r="A22" s="60" t="n">
        <v>17</v>
      </c>
      <c r="B22" s="60" t="n">
        <v>3</v>
      </c>
      <c r="C22" s="60" t="s">
        <v>244</v>
      </c>
      <c r="D22" s="60" t="s">
        <v>67</v>
      </c>
      <c r="E22" s="60" t="s">
        <v>245</v>
      </c>
      <c r="F22" s="61" t="n">
        <v>4.2</v>
      </c>
      <c r="G22" s="61" t="n">
        <v>4.2</v>
      </c>
      <c r="H22" s="60" t="n">
        <v>63</v>
      </c>
      <c r="I22" s="62" t="n">
        <f aca="false">IFERROR(F22*H22,"")</f>
        <v>264.6</v>
      </c>
      <c r="J22" s="60" t="n">
        <v>1</v>
      </c>
      <c r="K22" s="62" t="n">
        <f aca="false">IFERROR((F22-J22)*H22,"")</f>
        <v>201.6</v>
      </c>
      <c r="L22" s="63" t="n">
        <f aca="false">IFERROR(IF(F22&gt;0,LN(F22),""),"")</f>
        <v>1.43508452528932</v>
      </c>
      <c r="M22" s="63" t="n">
        <f aca="false">IFERROR(IF(H22&gt;0,LN(H22),""),"")</f>
        <v>4.14313472639153</v>
      </c>
    </row>
    <row r="23" customFormat="false" ht="15" hidden="false" customHeight="true" outlineLevel="0" collapsed="false">
      <c r="A23" s="60" t="n">
        <v>18</v>
      </c>
      <c r="B23" s="60" t="n">
        <v>4</v>
      </c>
      <c r="C23" s="60" t="s">
        <v>244</v>
      </c>
      <c r="D23" s="60" t="s">
        <v>67</v>
      </c>
      <c r="E23" s="60" t="s">
        <v>245</v>
      </c>
      <c r="F23" s="61" t="n">
        <v>4.41</v>
      </c>
      <c r="G23" s="61" t="n">
        <v>4.2</v>
      </c>
      <c r="H23" s="60" t="n">
        <v>55</v>
      </c>
      <c r="I23" s="62" t="n">
        <f aca="false">IFERROR(F23*H23,"")</f>
        <v>242.55</v>
      </c>
      <c r="J23" s="60" t="n">
        <v>1</v>
      </c>
      <c r="K23" s="62" t="n">
        <f aca="false">IFERROR((F23-J23)*H23,"")</f>
        <v>187.55</v>
      </c>
      <c r="L23" s="63" t="n">
        <f aca="false">IFERROR(IF(F23&gt;0,LN(F23),""),"")</f>
        <v>1.48387468945875</v>
      </c>
      <c r="M23" s="63" t="n">
        <f aca="false">IFERROR(IF(H23&gt;0,LN(H23),""),"")</f>
        <v>4.00733318523247</v>
      </c>
    </row>
    <row r="24" customFormat="false" ht="15" hidden="false" customHeight="true" outlineLevel="0" collapsed="false">
      <c r="A24" s="60" t="n">
        <v>19</v>
      </c>
      <c r="B24" s="60" t="n">
        <v>5</v>
      </c>
      <c r="C24" s="60" t="s">
        <v>244</v>
      </c>
      <c r="D24" s="60" t="s">
        <v>67</v>
      </c>
      <c r="E24" s="60" t="s">
        <v>245</v>
      </c>
      <c r="F24" s="61" t="n">
        <v>4.2</v>
      </c>
      <c r="G24" s="61" t="n">
        <v>4.2</v>
      </c>
      <c r="H24" s="60" t="n">
        <v>54</v>
      </c>
      <c r="I24" s="62" t="n">
        <f aca="false">IFERROR(F24*H24,"")</f>
        <v>226.8</v>
      </c>
      <c r="J24" s="60" t="n">
        <v>1</v>
      </c>
      <c r="K24" s="62" t="n">
        <f aca="false">IFERROR((F24-J24)*H24,"")</f>
        <v>172.8</v>
      </c>
      <c r="L24" s="63" t="n">
        <f aca="false">IFERROR(IF(F24&gt;0,LN(F24),""),"")</f>
        <v>1.43508452528932</v>
      </c>
      <c r="M24" s="63" t="n">
        <f aca="false">IFERROR(IF(H24&gt;0,LN(H24),""),"")</f>
        <v>3.98898404656427</v>
      </c>
    </row>
    <row r="25" customFormat="false" ht="15" hidden="false" customHeight="true" outlineLevel="0" collapsed="false">
      <c r="A25" s="60" t="n">
        <v>20</v>
      </c>
      <c r="B25" s="60" t="n">
        <v>6</v>
      </c>
      <c r="C25" s="60" t="s">
        <v>244</v>
      </c>
      <c r="D25" s="60" t="s">
        <v>67</v>
      </c>
      <c r="E25" s="60" t="s">
        <v>245</v>
      </c>
      <c r="F25" s="61" t="n">
        <v>4.41</v>
      </c>
      <c r="G25" s="61" t="n">
        <v>4.2</v>
      </c>
      <c r="H25" s="60" t="n">
        <v>37</v>
      </c>
      <c r="I25" s="62" t="n">
        <f aca="false">IFERROR(F25*H25,"")</f>
        <v>163.17</v>
      </c>
      <c r="J25" s="60" t="n">
        <v>1</v>
      </c>
      <c r="K25" s="62" t="n">
        <f aca="false">IFERROR((F25-J25)*H25,"")</f>
        <v>126.17</v>
      </c>
      <c r="L25" s="63" t="n">
        <f aca="false">IFERROR(IF(F25&gt;0,LN(F25),""),"")</f>
        <v>1.48387468945875</v>
      </c>
      <c r="M25" s="63" t="n">
        <f aca="false">IFERROR(IF(H25&gt;0,LN(H25),""),"")</f>
        <v>3.61091791264422</v>
      </c>
    </row>
    <row r="26" customFormat="false" ht="15" hidden="false" customHeight="true" outlineLevel="0" collapsed="false">
      <c r="A26" s="60" t="n">
        <v>21</v>
      </c>
      <c r="B26" s="60" t="n">
        <v>7</v>
      </c>
      <c r="C26" s="60" t="s">
        <v>244</v>
      </c>
      <c r="D26" s="60" t="s">
        <v>67</v>
      </c>
      <c r="E26" s="60" t="s">
        <v>245</v>
      </c>
      <c r="F26" s="61" t="n">
        <v>3.78</v>
      </c>
      <c r="G26" s="61" t="n">
        <v>4.2</v>
      </c>
      <c r="H26" s="60" t="n">
        <v>66</v>
      </c>
      <c r="I26" s="62" t="n">
        <f aca="false">IFERROR(F26*H26,"")</f>
        <v>249.48</v>
      </c>
      <c r="J26" s="60" t="n">
        <v>1</v>
      </c>
      <c r="K26" s="62" t="n">
        <f aca="false">IFERROR((F26-J26)*H26,"")</f>
        <v>183.48</v>
      </c>
      <c r="L26" s="63" t="n">
        <f aca="false">IFERROR(IF(F26&gt;0,LN(F26),""),"")</f>
        <v>1.3297240096315</v>
      </c>
      <c r="M26" s="63" t="n">
        <f aca="false">IFERROR(IF(H26&gt;0,LN(H26),""),"")</f>
        <v>4.18965474202643</v>
      </c>
    </row>
    <row r="27" customFormat="false" ht="15" hidden="false" customHeight="true" outlineLevel="0" collapsed="false">
      <c r="A27" s="60" t="n">
        <v>22</v>
      </c>
      <c r="B27" s="60" t="n">
        <v>1</v>
      </c>
      <c r="C27" s="60" t="s">
        <v>244</v>
      </c>
      <c r="D27" s="60" t="s">
        <v>67</v>
      </c>
      <c r="E27" s="60" t="s">
        <v>245</v>
      </c>
      <c r="F27" s="61" t="n">
        <v>4.41</v>
      </c>
      <c r="G27" s="61" t="n">
        <v>4.2</v>
      </c>
      <c r="H27" s="60" t="n">
        <v>46</v>
      </c>
      <c r="I27" s="62" t="n">
        <f aca="false">IFERROR(F27*H27,"")</f>
        <v>202.86</v>
      </c>
      <c r="J27" s="60" t="n">
        <v>1</v>
      </c>
      <c r="K27" s="62" t="n">
        <f aca="false">IFERROR((F27-J27)*H27,"")</f>
        <v>156.86</v>
      </c>
      <c r="L27" s="63" t="n">
        <f aca="false">IFERROR(IF(F27&gt;0,LN(F27),""),"")</f>
        <v>1.48387468945875</v>
      </c>
      <c r="M27" s="63" t="n">
        <f aca="false">IFERROR(IF(H27&gt;0,LN(H27),""),"")</f>
        <v>3.8286413964891</v>
      </c>
    </row>
    <row r="28" customFormat="false" ht="15" hidden="false" customHeight="true" outlineLevel="0" collapsed="false">
      <c r="A28" s="60" t="n">
        <v>23</v>
      </c>
      <c r="B28" s="60" t="n">
        <v>2</v>
      </c>
      <c r="C28" s="60" t="s">
        <v>244</v>
      </c>
      <c r="D28" s="60" t="s">
        <v>67</v>
      </c>
      <c r="E28" s="60" t="s">
        <v>245</v>
      </c>
      <c r="F28" s="61" t="n">
        <v>4.2</v>
      </c>
      <c r="G28" s="61" t="n">
        <v>4.2</v>
      </c>
      <c r="H28" s="60" t="n">
        <v>55</v>
      </c>
      <c r="I28" s="62" t="n">
        <f aca="false">IFERROR(F28*H28,"")</f>
        <v>231</v>
      </c>
      <c r="J28" s="60" t="n">
        <v>1</v>
      </c>
      <c r="K28" s="62" t="n">
        <f aca="false">IFERROR((F28-J28)*H28,"")</f>
        <v>176</v>
      </c>
      <c r="L28" s="63" t="n">
        <f aca="false">IFERROR(IF(F28&gt;0,LN(F28),""),"")</f>
        <v>1.43508452528932</v>
      </c>
      <c r="M28" s="63" t="n">
        <f aca="false">IFERROR(IF(H28&gt;0,LN(H28),""),"")</f>
        <v>4.00733318523247</v>
      </c>
    </row>
    <row r="29" customFormat="false" ht="15" hidden="false" customHeight="true" outlineLevel="0" collapsed="false">
      <c r="A29" s="60" t="n">
        <v>24</v>
      </c>
      <c r="B29" s="60" t="n">
        <v>3</v>
      </c>
      <c r="C29" s="60" t="s">
        <v>244</v>
      </c>
      <c r="D29" s="60" t="s">
        <v>67</v>
      </c>
      <c r="E29" s="60" t="s">
        <v>245</v>
      </c>
      <c r="F29" s="61" t="n">
        <v>4.2</v>
      </c>
      <c r="G29" s="61" t="n">
        <v>4.2</v>
      </c>
      <c r="H29" s="60" t="n">
        <v>42</v>
      </c>
      <c r="I29" s="62" t="n">
        <f aca="false">IFERROR(F29*H29,"")</f>
        <v>176.4</v>
      </c>
      <c r="J29" s="60" t="n">
        <v>1</v>
      </c>
      <c r="K29" s="62" t="n">
        <f aca="false">IFERROR((F29-J29)*H29,"")</f>
        <v>134.4</v>
      </c>
      <c r="L29" s="63" t="n">
        <f aca="false">IFERROR(IF(F29&gt;0,LN(F29),""),"")</f>
        <v>1.43508452528932</v>
      </c>
      <c r="M29" s="63" t="n">
        <f aca="false">IFERROR(IF(H29&gt;0,LN(H29),""),"")</f>
        <v>3.73766961828337</v>
      </c>
    </row>
    <row r="30" customFormat="false" ht="15" hidden="false" customHeight="true" outlineLevel="0" collapsed="false">
      <c r="A30" s="60" t="n">
        <v>25</v>
      </c>
      <c r="B30" s="60" t="n">
        <v>4</v>
      </c>
      <c r="C30" s="60" t="s">
        <v>244</v>
      </c>
      <c r="D30" s="60" t="s">
        <v>67</v>
      </c>
      <c r="E30" s="60" t="s">
        <v>245</v>
      </c>
      <c r="F30" s="61" t="n">
        <v>4.41</v>
      </c>
      <c r="G30" s="61" t="n">
        <v>4.2</v>
      </c>
      <c r="H30" s="60" t="n">
        <v>48</v>
      </c>
      <c r="I30" s="62" t="n">
        <f aca="false">IFERROR(F30*H30,"")</f>
        <v>211.68</v>
      </c>
      <c r="J30" s="60" t="n">
        <v>1</v>
      </c>
      <c r="K30" s="62" t="n">
        <f aca="false">IFERROR((F30-J30)*H30,"")</f>
        <v>163.68</v>
      </c>
      <c r="L30" s="63" t="n">
        <f aca="false">IFERROR(IF(F30&gt;0,LN(F30),""),"")</f>
        <v>1.48387468945875</v>
      </c>
      <c r="M30" s="63" t="n">
        <f aca="false">IFERROR(IF(H30&gt;0,LN(H30),""),"")</f>
        <v>3.87120101090789</v>
      </c>
    </row>
    <row r="31" customFormat="false" ht="15" hidden="false" customHeight="true" outlineLevel="0" collapsed="false">
      <c r="A31" s="60" t="n">
        <v>26</v>
      </c>
      <c r="B31" s="60" t="n">
        <v>5</v>
      </c>
      <c r="C31" s="60" t="s">
        <v>244</v>
      </c>
      <c r="D31" s="60" t="s">
        <v>67</v>
      </c>
      <c r="E31" s="60" t="s">
        <v>245</v>
      </c>
      <c r="F31" s="61" t="n">
        <v>4.62</v>
      </c>
      <c r="G31" s="61" t="n">
        <v>4.2</v>
      </c>
      <c r="H31" s="60" t="n">
        <v>47</v>
      </c>
      <c r="I31" s="62" t="n">
        <f aca="false">IFERROR(F31*H31,"")</f>
        <v>217.14</v>
      </c>
      <c r="J31" s="60" t="n">
        <v>1</v>
      </c>
      <c r="K31" s="62" t="n">
        <f aca="false">IFERROR((F31-J31)*H31,"")</f>
        <v>170.14</v>
      </c>
      <c r="L31" s="63" t="n">
        <f aca="false">IFERROR(IF(F31&gt;0,LN(F31),""),"")</f>
        <v>1.53039470509365</v>
      </c>
      <c r="M31" s="63" t="n">
        <f aca="false">IFERROR(IF(H31&gt;0,LN(H31),""),"")</f>
        <v>3.85014760171006</v>
      </c>
    </row>
    <row r="32" customFormat="false" ht="15" hidden="false" customHeight="true" outlineLevel="0" collapsed="false">
      <c r="A32" s="60" t="n">
        <v>27</v>
      </c>
      <c r="B32" s="60" t="n">
        <v>6</v>
      </c>
      <c r="C32" s="60" t="s">
        <v>244</v>
      </c>
      <c r="D32" s="60" t="s">
        <v>67</v>
      </c>
      <c r="E32" s="60" t="s">
        <v>245</v>
      </c>
      <c r="F32" s="61" t="n">
        <v>3.99</v>
      </c>
      <c r="G32" s="61" t="n">
        <v>4.2</v>
      </c>
      <c r="H32" s="60" t="n">
        <v>57</v>
      </c>
      <c r="I32" s="62" t="n">
        <f aca="false">IFERROR(F32*H32,"")</f>
        <v>227.43</v>
      </c>
      <c r="J32" s="60" t="n">
        <v>1</v>
      </c>
      <c r="K32" s="62" t="n">
        <f aca="false">IFERROR((F32-J32)*H32,"")</f>
        <v>170.43</v>
      </c>
      <c r="L32" s="63" t="n">
        <f aca="false">IFERROR(IF(F32&gt;0,LN(F32),""),"")</f>
        <v>1.38379123090177</v>
      </c>
      <c r="M32" s="63" t="n">
        <f aca="false">IFERROR(IF(H32&gt;0,LN(H32),""),"")</f>
        <v>4.04305126783455</v>
      </c>
    </row>
    <row r="33" customFormat="false" ht="15" hidden="false" customHeight="true" outlineLevel="0" collapsed="false">
      <c r="A33" s="60" t="n">
        <v>28</v>
      </c>
      <c r="B33" s="60" t="n">
        <v>7</v>
      </c>
      <c r="C33" s="60" t="s">
        <v>244</v>
      </c>
      <c r="D33" s="60" t="s">
        <v>67</v>
      </c>
      <c r="E33" s="60" t="s">
        <v>245</v>
      </c>
      <c r="F33" s="61" t="n">
        <v>3.99</v>
      </c>
      <c r="G33" s="61" t="n">
        <v>4.2</v>
      </c>
      <c r="H33" s="60" t="n">
        <v>35</v>
      </c>
      <c r="I33" s="62" t="n">
        <f aca="false">IFERROR(F33*H33,"")</f>
        <v>139.65</v>
      </c>
      <c r="J33" s="60" t="n">
        <v>1</v>
      </c>
      <c r="K33" s="62" t="n">
        <f aca="false">IFERROR((F33-J33)*H33,"")</f>
        <v>104.65</v>
      </c>
      <c r="L33" s="63" t="n">
        <f aca="false">IFERROR(IF(F33&gt;0,LN(F33),""),"")</f>
        <v>1.38379123090177</v>
      </c>
      <c r="M33" s="63" t="n">
        <f aca="false">IFERROR(IF(H33&gt;0,LN(H33),""),"")</f>
        <v>3.55534806148941</v>
      </c>
    </row>
    <row r="34" customFormat="false" ht="15" hidden="false" customHeight="true" outlineLevel="0" collapsed="false">
      <c r="A34" s="60" t="n">
        <v>29</v>
      </c>
      <c r="B34" s="60" t="n">
        <v>1</v>
      </c>
      <c r="C34" s="60" t="s">
        <v>244</v>
      </c>
      <c r="D34" s="60" t="s">
        <v>67</v>
      </c>
      <c r="E34" s="60" t="s">
        <v>245</v>
      </c>
      <c r="F34" s="61" t="n">
        <v>3.78</v>
      </c>
      <c r="G34" s="61" t="n">
        <v>4.2</v>
      </c>
      <c r="H34" s="60" t="n">
        <v>51</v>
      </c>
      <c r="I34" s="62" t="n">
        <f aca="false">IFERROR(F34*H34,"")</f>
        <v>192.78</v>
      </c>
      <c r="J34" s="60" t="n">
        <v>1</v>
      </c>
      <c r="K34" s="62" t="n">
        <f aca="false">IFERROR((F34-J34)*H34,"")</f>
        <v>141.78</v>
      </c>
      <c r="L34" s="63" t="n">
        <f aca="false">IFERROR(IF(F34&gt;0,LN(F34),""),"")</f>
        <v>1.3297240096315</v>
      </c>
      <c r="M34" s="63" t="n">
        <f aca="false">IFERROR(IF(H34&gt;0,LN(H34),""),"")</f>
        <v>3.93182563272433</v>
      </c>
    </row>
    <row r="35" customFormat="false" ht="15" hidden="false" customHeight="true" outlineLevel="0" collapsed="false">
      <c r="A35" s="60" t="n">
        <v>30</v>
      </c>
      <c r="B35" s="60" t="n">
        <v>2</v>
      </c>
      <c r="C35" s="60" t="s">
        <v>244</v>
      </c>
      <c r="D35" s="60" t="s">
        <v>67</v>
      </c>
      <c r="E35" s="60" t="s">
        <v>245</v>
      </c>
      <c r="F35" s="61" t="n">
        <v>4.2</v>
      </c>
      <c r="G35" s="61" t="n">
        <v>4.2</v>
      </c>
      <c r="H35" s="60" t="n">
        <v>56</v>
      </c>
      <c r="I35" s="62" t="n">
        <f aca="false">IFERROR(F35*H35,"")</f>
        <v>235.2</v>
      </c>
      <c r="J35" s="60" t="n">
        <v>1</v>
      </c>
      <c r="K35" s="62" t="n">
        <f aca="false">IFERROR((F35-J35)*H35,"")</f>
        <v>179.2</v>
      </c>
      <c r="L35" s="63" t="n">
        <f aca="false">IFERROR(IF(F35&gt;0,LN(F35),""),"")</f>
        <v>1.43508452528932</v>
      </c>
      <c r="M35" s="63" t="n">
        <f aca="false">IFERROR(IF(H35&gt;0,LN(H35),""),"")</f>
        <v>4.02535169073515</v>
      </c>
    </row>
    <row r="36" customFormat="false" ht="15" hidden="false" customHeight="true" outlineLevel="0" collapsed="false">
      <c r="A36" s="60" t="n">
        <v>31</v>
      </c>
      <c r="B36" s="60" t="n">
        <v>3</v>
      </c>
      <c r="C36" s="60" t="s">
        <v>244</v>
      </c>
      <c r="D36" s="60" t="s">
        <v>67</v>
      </c>
      <c r="E36" s="60" t="s">
        <v>245</v>
      </c>
      <c r="F36" s="61" t="n">
        <v>3.99</v>
      </c>
      <c r="G36" s="61" t="n">
        <v>4.2</v>
      </c>
      <c r="H36" s="60" t="n">
        <v>50</v>
      </c>
      <c r="I36" s="62" t="n">
        <f aca="false">IFERROR(F36*H36,"")</f>
        <v>199.5</v>
      </c>
      <c r="J36" s="60" t="n">
        <v>1</v>
      </c>
      <c r="K36" s="62" t="n">
        <f aca="false">IFERROR((F36-J36)*H36,"")</f>
        <v>149.5</v>
      </c>
      <c r="L36" s="63" t="n">
        <f aca="false">IFERROR(IF(F36&gt;0,LN(F36),""),"")</f>
        <v>1.38379123090177</v>
      </c>
      <c r="M36" s="63" t="n">
        <f aca="false">IFERROR(IF(H36&gt;0,LN(H36),""),"")</f>
        <v>3.91202300542815</v>
      </c>
    </row>
    <row r="37" customFormat="false" ht="15" hidden="false" customHeight="true" outlineLevel="0" collapsed="false">
      <c r="A37" s="60" t="n">
        <v>32</v>
      </c>
      <c r="B37" s="60" t="n">
        <v>4</v>
      </c>
      <c r="C37" s="60" t="s">
        <v>244</v>
      </c>
      <c r="D37" s="60" t="s">
        <v>67</v>
      </c>
      <c r="E37" s="60" t="s">
        <v>245</v>
      </c>
      <c r="F37" s="61" t="n">
        <v>4.2</v>
      </c>
      <c r="G37" s="61" t="n">
        <v>4.2</v>
      </c>
      <c r="H37" s="60" t="n">
        <v>54</v>
      </c>
      <c r="I37" s="62" t="n">
        <f aca="false">IFERROR(F37*H37,"")</f>
        <v>226.8</v>
      </c>
      <c r="J37" s="60" t="n">
        <v>1</v>
      </c>
      <c r="K37" s="62" t="n">
        <f aca="false">IFERROR((F37-J37)*H37,"")</f>
        <v>172.8</v>
      </c>
      <c r="L37" s="63" t="n">
        <f aca="false">IFERROR(IF(F37&gt;0,LN(F37),""),"")</f>
        <v>1.43508452528932</v>
      </c>
      <c r="M37" s="63" t="n">
        <f aca="false">IFERROR(IF(H37&gt;0,LN(H37),""),"")</f>
        <v>3.98898404656427</v>
      </c>
    </row>
    <row r="38" customFormat="false" ht="15" hidden="false" customHeight="true" outlineLevel="0" collapsed="false">
      <c r="A38" s="60" t="n">
        <v>33</v>
      </c>
      <c r="B38" s="60" t="n">
        <v>5</v>
      </c>
      <c r="C38" s="60" t="s">
        <v>244</v>
      </c>
      <c r="D38" s="60" t="s">
        <v>67</v>
      </c>
      <c r="E38" s="60" t="s">
        <v>245</v>
      </c>
      <c r="F38" s="61" t="n">
        <v>4.62</v>
      </c>
      <c r="G38" s="61" t="n">
        <v>4.2</v>
      </c>
      <c r="H38" s="60" t="n">
        <v>54</v>
      </c>
      <c r="I38" s="62" t="n">
        <f aca="false">IFERROR(F38*H38,"")</f>
        <v>249.48</v>
      </c>
      <c r="J38" s="60" t="n">
        <v>1</v>
      </c>
      <c r="K38" s="62" t="n">
        <f aca="false">IFERROR((F38-J38)*H38,"")</f>
        <v>195.48</v>
      </c>
      <c r="L38" s="63" t="n">
        <f aca="false">IFERROR(IF(F38&gt;0,LN(F38),""),"")</f>
        <v>1.53039470509365</v>
      </c>
      <c r="M38" s="63" t="n">
        <f aca="false">IFERROR(IF(H38&gt;0,LN(H38),""),"")</f>
        <v>3.98898404656427</v>
      </c>
    </row>
    <row r="39" customFormat="false" ht="15" hidden="false" customHeight="true" outlineLevel="0" collapsed="false">
      <c r="A39" s="60" t="n">
        <v>34</v>
      </c>
      <c r="B39" s="60" t="n">
        <v>6</v>
      </c>
      <c r="C39" s="60" t="s">
        <v>244</v>
      </c>
      <c r="D39" s="60" t="s">
        <v>67</v>
      </c>
      <c r="E39" s="60" t="s">
        <v>245</v>
      </c>
      <c r="F39" s="61" t="n">
        <v>4.41</v>
      </c>
      <c r="G39" s="61" t="n">
        <v>4.2</v>
      </c>
      <c r="H39" s="60" t="n">
        <v>43</v>
      </c>
      <c r="I39" s="62" t="n">
        <f aca="false">IFERROR(F39*H39,"")</f>
        <v>189.63</v>
      </c>
      <c r="J39" s="60" t="n">
        <v>1</v>
      </c>
      <c r="K39" s="62" t="n">
        <f aca="false">IFERROR((F39-J39)*H39,"")</f>
        <v>146.63</v>
      </c>
      <c r="L39" s="63" t="n">
        <f aca="false">IFERROR(IF(F39&gt;0,LN(F39),""),"")</f>
        <v>1.48387468945875</v>
      </c>
      <c r="M39" s="63" t="n">
        <f aca="false">IFERROR(IF(H39&gt;0,LN(H39),""),"")</f>
        <v>3.76120011569356</v>
      </c>
    </row>
    <row r="40" customFormat="false" ht="15" hidden="false" customHeight="true" outlineLevel="0" collapsed="false">
      <c r="A40" s="60" t="n">
        <v>35</v>
      </c>
      <c r="B40" s="60" t="n">
        <v>7</v>
      </c>
      <c r="C40" s="60" t="s">
        <v>244</v>
      </c>
      <c r="D40" s="60" t="s">
        <v>67</v>
      </c>
      <c r="E40" s="60" t="s">
        <v>245</v>
      </c>
      <c r="F40" s="61" t="n">
        <v>4.62</v>
      </c>
      <c r="G40" s="61" t="n">
        <v>4.2</v>
      </c>
      <c r="H40" s="60" t="n">
        <v>50</v>
      </c>
      <c r="I40" s="62" t="n">
        <f aca="false">IFERROR(F40*H40,"")</f>
        <v>231</v>
      </c>
      <c r="J40" s="60" t="n">
        <v>1</v>
      </c>
      <c r="K40" s="62" t="n">
        <f aca="false">IFERROR((F40-J40)*H40,"")</f>
        <v>181</v>
      </c>
      <c r="L40" s="63" t="n">
        <f aca="false">IFERROR(IF(F40&gt;0,LN(F40),""),"")</f>
        <v>1.53039470509365</v>
      </c>
      <c r="M40" s="63" t="n">
        <f aca="false">IFERROR(IF(H40&gt;0,LN(H40),""),"")</f>
        <v>3.91202300542815</v>
      </c>
    </row>
    <row r="41" customFormat="false" ht="15" hidden="false" customHeight="true" outlineLevel="0" collapsed="false">
      <c r="A41" s="60" t="n">
        <v>36</v>
      </c>
      <c r="B41" s="60" t="n">
        <v>1</v>
      </c>
      <c r="C41" s="60" t="s">
        <v>244</v>
      </c>
      <c r="D41" s="60" t="s">
        <v>67</v>
      </c>
      <c r="E41" s="60" t="s">
        <v>245</v>
      </c>
      <c r="F41" s="61" t="n">
        <v>3.99</v>
      </c>
      <c r="G41" s="61" t="n">
        <v>4.2</v>
      </c>
      <c r="H41" s="60" t="n">
        <v>66</v>
      </c>
      <c r="I41" s="62" t="n">
        <f aca="false">IFERROR(F41*H41,"")</f>
        <v>263.34</v>
      </c>
      <c r="J41" s="60" t="n">
        <v>1</v>
      </c>
      <c r="K41" s="62" t="n">
        <f aca="false">IFERROR((F41-J41)*H41,"")</f>
        <v>197.34</v>
      </c>
      <c r="L41" s="63" t="n">
        <f aca="false">IFERROR(IF(F41&gt;0,LN(F41),""),"")</f>
        <v>1.38379123090177</v>
      </c>
      <c r="M41" s="63" t="n">
        <f aca="false">IFERROR(IF(H41&gt;0,LN(H41),""),"")</f>
        <v>4.18965474202643</v>
      </c>
    </row>
    <row r="42" customFormat="false" ht="15" hidden="false" customHeight="true" outlineLevel="0" collapsed="false">
      <c r="A42" s="60" t="n">
        <v>37</v>
      </c>
      <c r="B42" s="60" t="n">
        <v>2</v>
      </c>
      <c r="C42" s="60" t="s">
        <v>244</v>
      </c>
      <c r="D42" s="60" t="s">
        <v>67</v>
      </c>
      <c r="E42" s="60" t="s">
        <v>245</v>
      </c>
      <c r="F42" s="61" t="n">
        <v>4.2</v>
      </c>
      <c r="G42" s="61" t="n">
        <v>4.2</v>
      </c>
      <c r="H42" s="60" t="n">
        <v>36</v>
      </c>
      <c r="I42" s="62" t="n">
        <f aca="false">IFERROR(F42*H42,"")</f>
        <v>151.2</v>
      </c>
      <c r="J42" s="60" t="n">
        <v>1</v>
      </c>
      <c r="K42" s="62" t="n">
        <f aca="false">IFERROR((F42-J42)*H42,"")</f>
        <v>115.2</v>
      </c>
      <c r="L42" s="63" t="n">
        <f aca="false">IFERROR(IF(F42&gt;0,LN(F42),""),"")</f>
        <v>1.43508452528932</v>
      </c>
      <c r="M42" s="63" t="n">
        <f aca="false">IFERROR(IF(H42&gt;0,LN(H42),""),"")</f>
        <v>3.58351893845611</v>
      </c>
    </row>
    <row r="43" customFormat="false" ht="15" hidden="false" customHeight="true" outlineLevel="0" collapsed="false">
      <c r="A43" s="60" t="n">
        <v>38</v>
      </c>
      <c r="B43" s="60" t="n">
        <v>3</v>
      </c>
      <c r="C43" s="60" t="s">
        <v>244</v>
      </c>
      <c r="D43" s="60" t="s">
        <v>67</v>
      </c>
      <c r="E43" s="60" t="s">
        <v>245</v>
      </c>
      <c r="F43" s="61" t="n">
        <v>4.62</v>
      </c>
      <c r="G43" s="61" t="n">
        <v>4.2</v>
      </c>
      <c r="H43" s="60" t="n">
        <v>60</v>
      </c>
      <c r="I43" s="62" t="n">
        <f aca="false">IFERROR(F43*H43,"")</f>
        <v>277.2</v>
      </c>
      <c r="J43" s="60" t="n">
        <v>1</v>
      </c>
      <c r="K43" s="62" t="n">
        <f aca="false">IFERROR((F43-J43)*H43,"")</f>
        <v>217.2</v>
      </c>
      <c r="L43" s="63" t="n">
        <f aca="false">IFERROR(IF(F43&gt;0,LN(F43),""),"")</f>
        <v>1.53039470509365</v>
      </c>
      <c r="M43" s="63" t="n">
        <f aca="false">IFERROR(IF(H43&gt;0,LN(H43),""),"")</f>
        <v>4.0943445622221</v>
      </c>
    </row>
    <row r="44" customFormat="false" ht="15" hidden="false" customHeight="true" outlineLevel="0" collapsed="false">
      <c r="A44" s="60" t="n">
        <v>39</v>
      </c>
      <c r="B44" s="60" t="n">
        <v>4</v>
      </c>
      <c r="C44" s="60" t="s">
        <v>244</v>
      </c>
      <c r="D44" s="60" t="s">
        <v>67</v>
      </c>
      <c r="E44" s="60" t="s">
        <v>245</v>
      </c>
      <c r="F44" s="61" t="n">
        <v>4.62</v>
      </c>
      <c r="G44" s="61" t="n">
        <v>4.2</v>
      </c>
      <c r="H44" s="60" t="n">
        <v>36</v>
      </c>
      <c r="I44" s="62" t="n">
        <f aca="false">IFERROR(F44*H44,"")</f>
        <v>166.32</v>
      </c>
      <c r="J44" s="60" t="n">
        <v>1</v>
      </c>
      <c r="K44" s="62" t="n">
        <f aca="false">IFERROR((F44-J44)*H44,"")</f>
        <v>130.32</v>
      </c>
      <c r="L44" s="63" t="n">
        <f aca="false">IFERROR(IF(F44&gt;0,LN(F44),""),"")</f>
        <v>1.53039470509365</v>
      </c>
      <c r="M44" s="63" t="n">
        <f aca="false">IFERROR(IF(H44&gt;0,LN(H44),""),"")</f>
        <v>3.58351893845611</v>
      </c>
    </row>
    <row r="45" customFormat="false" ht="15" hidden="false" customHeight="true" outlineLevel="0" collapsed="false">
      <c r="A45" s="60" t="n">
        <v>40</v>
      </c>
      <c r="B45" s="60" t="n">
        <v>5</v>
      </c>
      <c r="C45" s="60" t="s">
        <v>244</v>
      </c>
      <c r="D45" s="60" t="s">
        <v>67</v>
      </c>
      <c r="E45" s="60" t="s">
        <v>245</v>
      </c>
      <c r="F45" s="61" t="n">
        <v>3.78</v>
      </c>
      <c r="G45" s="61" t="n">
        <v>4.2</v>
      </c>
      <c r="H45" s="60" t="n">
        <v>53</v>
      </c>
      <c r="I45" s="62" t="n">
        <f aca="false">IFERROR(F45*H45,"")</f>
        <v>200.34</v>
      </c>
      <c r="J45" s="60" t="n">
        <v>1</v>
      </c>
      <c r="K45" s="62" t="n">
        <f aca="false">IFERROR((F45-J45)*H45,"")</f>
        <v>147.34</v>
      </c>
      <c r="L45" s="63" t="n">
        <f aca="false">IFERROR(IF(F45&gt;0,LN(F45),""),"")</f>
        <v>1.3297240096315</v>
      </c>
      <c r="M45" s="63" t="n">
        <f aca="false">IFERROR(IF(H45&gt;0,LN(H45),""),"")</f>
        <v>3.97029191355212</v>
      </c>
    </row>
    <row r="46" customFormat="false" ht="15" hidden="false" customHeight="true" outlineLevel="0" collapsed="false">
      <c r="A46" s="60" t="n">
        <v>41</v>
      </c>
      <c r="B46" s="60" t="n">
        <v>6</v>
      </c>
      <c r="C46" s="60" t="s">
        <v>244</v>
      </c>
      <c r="D46" s="60" t="s">
        <v>67</v>
      </c>
      <c r="E46" s="60" t="s">
        <v>245</v>
      </c>
      <c r="F46" s="61" t="n">
        <v>3.99</v>
      </c>
      <c r="G46" s="61" t="n">
        <v>4.2</v>
      </c>
      <c r="H46" s="60" t="n">
        <v>60</v>
      </c>
      <c r="I46" s="62" t="n">
        <f aca="false">IFERROR(F46*H46,"")</f>
        <v>239.4</v>
      </c>
      <c r="J46" s="60" t="n">
        <v>1</v>
      </c>
      <c r="K46" s="62" t="n">
        <f aca="false">IFERROR((F46-J46)*H46,"")</f>
        <v>179.4</v>
      </c>
      <c r="L46" s="63" t="n">
        <f aca="false">IFERROR(IF(F46&gt;0,LN(F46),""),"")</f>
        <v>1.38379123090177</v>
      </c>
      <c r="M46" s="63" t="n">
        <f aca="false">IFERROR(IF(H46&gt;0,LN(H46),""),"")</f>
        <v>4.0943445622221</v>
      </c>
    </row>
    <row r="47" customFormat="false" ht="15" hidden="false" customHeight="true" outlineLevel="0" collapsed="false">
      <c r="A47" s="60" t="n">
        <v>42</v>
      </c>
      <c r="B47" s="60" t="n">
        <v>7</v>
      </c>
      <c r="C47" s="60" t="s">
        <v>244</v>
      </c>
      <c r="D47" s="60" t="s">
        <v>67</v>
      </c>
      <c r="E47" s="60" t="s">
        <v>245</v>
      </c>
      <c r="F47" s="61" t="n">
        <v>4.2</v>
      </c>
      <c r="G47" s="61" t="n">
        <v>4.2</v>
      </c>
      <c r="H47" s="60" t="n">
        <v>39</v>
      </c>
      <c r="I47" s="62" t="n">
        <f aca="false">IFERROR(F47*H47,"")</f>
        <v>163.8</v>
      </c>
      <c r="J47" s="60" t="n">
        <v>1</v>
      </c>
      <c r="K47" s="62" t="n">
        <f aca="false">IFERROR((F47-J47)*H47,"")</f>
        <v>124.8</v>
      </c>
      <c r="L47" s="63" t="n">
        <f aca="false">IFERROR(IF(F47&gt;0,LN(F47),""),"")</f>
        <v>1.43508452528932</v>
      </c>
      <c r="M47" s="63" t="n">
        <f aca="false">IFERROR(IF(H47&gt;0,LN(H47),""),"")</f>
        <v>3.66356164612965</v>
      </c>
    </row>
    <row r="48" customFormat="false" ht="15" hidden="false" customHeight="true" outlineLevel="0" collapsed="false">
      <c r="A48" s="60" t="n">
        <v>43</v>
      </c>
      <c r="B48" s="60" t="n">
        <v>1</v>
      </c>
      <c r="C48" s="60" t="s">
        <v>244</v>
      </c>
      <c r="D48" s="60" t="s">
        <v>67</v>
      </c>
      <c r="E48" s="60" t="s">
        <v>245</v>
      </c>
      <c r="F48" s="61" t="n">
        <v>4.2</v>
      </c>
      <c r="G48" s="61" t="n">
        <v>4.2</v>
      </c>
      <c r="H48" s="60" t="n">
        <v>68</v>
      </c>
      <c r="I48" s="62" t="n">
        <f aca="false">IFERROR(F48*H48,"")</f>
        <v>285.6</v>
      </c>
      <c r="J48" s="60" t="n">
        <v>1</v>
      </c>
      <c r="K48" s="62" t="n">
        <f aca="false">IFERROR((F48-J48)*H48,"")</f>
        <v>217.6</v>
      </c>
      <c r="L48" s="63" t="n">
        <f aca="false">IFERROR(IF(F48&gt;0,LN(F48),""),"")</f>
        <v>1.43508452528932</v>
      </c>
      <c r="M48" s="63" t="n">
        <f aca="false">IFERROR(IF(H48&gt;0,LN(H48),""),"")</f>
        <v>4.21950770517611</v>
      </c>
    </row>
    <row r="49" customFormat="false" ht="15" hidden="false" customHeight="true" outlineLevel="0" collapsed="false">
      <c r="A49" s="60" t="n">
        <v>44</v>
      </c>
      <c r="B49" s="60" t="n">
        <v>2</v>
      </c>
      <c r="C49" s="60" t="s">
        <v>244</v>
      </c>
      <c r="D49" s="60" t="s">
        <v>67</v>
      </c>
      <c r="E49" s="60" t="s">
        <v>245</v>
      </c>
      <c r="F49" s="61" t="n">
        <v>4.41</v>
      </c>
      <c r="G49" s="61" t="n">
        <v>4.2</v>
      </c>
      <c r="H49" s="60" t="n">
        <v>54</v>
      </c>
      <c r="I49" s="62" t="n">
        <f aca="false">IFERROR(F49*H49,"")</f>
        <v>238.14</v>
      </c>
      <c r="J49" s="60" t="n">
        <v>1</v>
      </c>
      <c r="K49" s="62" t="n">
        <f aca="false">IFERROR((F49-J49)*H49,"")</f>
        <v>184.14</v>
      </c>
      <c r="L49" s="63" t="n">
        <f aca="false">IFERROR(IF(F49&gt;0,LN(F49),""),"")</f>
        <v>1.48387468945875</v>
      </c>
      <c r="M49" s="63" t="n">
        <f aca="false">IFERROR(IF(H49&gt;0,LN(H49),""),"")</f>
        <v>3.98898404656427</v>
      </c>
    </row>
    <row r="50" customFormat="false" ht="15" hidden="false" customHeight="true" outlineLevel="0" collapsed="false">
      <c r="A50" s="60" t="n">
        <v>45</v>
      </c>
      <c r="B50" s="60" t="n">
        <v>3</v>
      </c>
      <c r="C50" s="60" t="s">
        <v>244</v>
      </c>
      <c r="D50" s="60" t="s">
        <v>67</v>
      </c>
      <c r="E50" s="60" t="s">
        <v>245</v>
      </c>
      <c r="F50" s="61" t="n">
        <v>4.62</v>
      </c>
      <c r="G50" s="61" t="n">
        <v>4.2</v>
      </c>
      <c r="H50" s="60" t="n">
        <v>41</v>
      </c>
      <c r="I50" s="62" t="n">
        <f aca="false">IFERROR(F50*H50,"")</f>
        <v>189.42</v>
      </c>
      <c r="J50" s="60" t="n">
        <v>1</v>
      </c>
      <c r="K50" s="62" t="n">
        <f aca="false">IFERROR((F50-J50)*H50,"")</f>
        <v>148.42</v>
      </c>
      <c r="L50" s="63" t="n">
        <f aca="false">IFERROR(IF(F50&gt;0,LN(F50),""),"")</f>
        <v>1.53039470509365</v>
      </c>
      <c r="M50" s="63" t="n">
        <f aca="false">IFERROR(IF(H50&gt;0,LN(H50),""),"")</f>
        <v>3.71357206670431</v>
      </c>
    </row>
    <row r="51" customFormat="false" ht="15" hidden="false" customHeight="true" outlineLevel="0" collapsed="false">
      <c r="A51" s="60" t="n">
        <v>46</v>
      </c>
      <c r="B51" s="60" t="n">
        <v>4</v>
      </c>
      <c r="C51" s="60" t="s">
        <v>244</v>
      </c>
      <c r="D51" s="60" t="s">
        <v>67</v>
      </c>
      <c r="E51" s="60" t="s">
        <v>245</v>
      </c>
      <c r="F51" s="61" t="n">
        <v>4.2</v>
      </c>
      <c r="G51" s="61" t="n">
        <v>4.2</v>
      </c>
      <c r="H51" s="60" t="n">
        <v>61</v>
      </c>
      <c r="I51" s="62" t="n">
        <f aca="false">IFERROR(F51*H51,"")</f>
        <v>256.2</v>
      </c>
      <c r="J51" s="60" t="n">
        <v>1</v>
      </c>
      <c r="K51" s="62" t="n">
        <f aca="false">IFERROR((F51-J51)*H51,"")</f>
        <v>195.2</v>
      </c>
      <c r="L51" s="63" t="n">
        <f aca="false">IFERROR(IF(F51&gt;0,LN(F51),""),"")</f>
        <v>1.43508452528932</v>
      </c>
      <c r="M51" s="63" t="n">
        <f aca="false">IFERROR(IF(H51&gt;0,LN(H51),""),"")</f>
        <v>4.11087386417331</v>
      </c>
    </row>
    <row r="52" customFormat="false" ht="15" hidden="false" customHeight="true" outlineLevel="0" collapsed="false">
      <c r="A52" s="60" t="n">
        <v>47</v>
      </c>
      <c r="B52" s="60" t="n">
        <v>5</v>
      </c>
      <c r="C52" s="60" t="s">
        <v>244</v>
      </c>
      <c r="D52" s="60" t="s">
        <v>67</v>
      </c>
      <c r="E52" s="60" t="s">
        <v>245</v>
      </c>
      <c r="F52" s="61" t="n">
        <v>4.62</v>
      </c>
      <c r="G52" s="61" t="n">
        <v>4.2</v>
      </c>
      <c r="H52" s="60" t="n">
        <v>39</v>
      </c>
      <c r="I52" s="62" t="n">
        <f aca="false">IFERROR(F52*H52,"")</f>
        <v>180.18</v>
      </c>
      <c r="J52" s="60" t="n">
        <v>1</v>
      </c>
      <c r="K52" s="62" t="n">
        <f aca="false">IFERROR((F52-J52)*H52,"")</f>
        <v>141.18</v>
      </c>
      <c r="L52" s="63" t="n">
        <f aca="false">IFERROR(IF(F52&gt;0,LN(F52),""),"")</f>
        <v>1.53039470509365</v>
      </c>
      <c r="M52" s="63" t="n">
        <f aca="false">IFERROR(IF(H52&gt;0,LN(H52),""),"")</f>
        <v>3.66356164612965</v>
      </c>
    </row>
    <row r="53" customFormat="false" ht="15" hidden="false" customHeight="true" outlineLevel="0" collapsed="false">
      <c r="A53" s="60" t="n">
        <v>48</v>
      </c>
      <c r="B53" s="60" t="n">
        <v>6</v>
      </c>
      <c r="C53" s="60" t="s">
        <v>244</v>
      </c>
      <c r="D53" s="60" t="s">
        <v>67</v>
      </c>
      <c r="E53" s="60" t="s">
        <v>245</v>
      </c>
      <c r="F53" s="61" t="n">
        <v>3.99</v>
      </c>
      <c r="G53" s="61" t="n">
        <v>4.2</v>
      </c>
      <c r="H53" s="60" t="n">
        <v>55</v>
      </c>
      <c r="I53" s="62" t="n">
        <f aca="false">IFERROR(F53*H53,"")</f>
        <v>219.45</v>
      </c>
      <c r="J53" s="60" t="n">
        <v>1</v>
      </c>
      <c r="K53" s="62" t="n">
        <f aca="false">IFERROR((F53-J53)*H53,"")</f>
        <v>164.45</v>
      </c>
      <c r="L53" s="63" t="n">
        <f aca="false">IFERROR(IF(F53&gt;0,LN(F53),""),"")</f>
        <v>1.38379123090177</v>
      </c>
      <c r="M53" s="63" t="n">
        <f aca="false">IFERROR(IF(H53&gt;0,LN(H53),""),"")</f>
        <v>4.00733318523247</v>
      </c>
    </row>
    <row r="54" customFormat="false" ht="15" hidden="false" customHeight="true" outlineLevel="0" collapsed="false">
      <c r="A54" s="60" t="n">
        <v>49</v>
      </c>
      <c r="B54" s="60" t="n">
        <v>7</v>
      </c>
      <c r="C54" s="60" t="s">
        <v>244</v>
      </c>
      <c r="D54" s="60" t="s">
        <v>67</v>
      </c>
      <c r="E54" s="60" t="s">
        <v>245</v>
      </c>
      <c r="F54" s="61" t="n">
        <v>4.62</v>
      </c>
      <c r="G54" s="61" t="n">
        <v>4.2</v>
      </c>
      <c r="H54" s="60" t="n">
        <v>40</v>
      </c>
      <c r="I54" s="62" t="n">
        <f aca="false">IFERROR(F54*H54,"")</f>
        <v>184.8</v>
      </c>
      <c r="J54" s="60" t="n">
        <v>1</v>
      </c>
      <c r="K54" s="62" t="n">
        <f aca="false">IFERROR((F54-J54)*H54,"")</f>
        <v>144.8</v>
      </c>
      <c r="L54" s="63" t="n">
        <f aca="false">IFERROR(IF(F54&gt;0,LN(F54),""),"")</f>
        <v>1.53039470509365</v>
      </c>
      <c r="M54" s="63" t="n">
        <f aca="false">IFERROR(IF(H54&gt;0,LN(H54),""),"")</f>
        <v>3.68887945411394</v>
      </c>
    </row>
    <row r="55" customFormat="false" ht="15" hidden="false" customHeight="true" outlineLevel="0" collapsed="false">
      <c r="A55" s="60" t="n">
        <v>50</v>
      </c>
      <c r="B55" s="60" t="n">
        <v>1</v>
      </c>
      <c r="C55" s="60" t="s">
        <v>244</v>
      </c>
      <c r="D55" s="60" t="s">
        <v>67</v>
      </c>
      <c r="E55" s="60" t="s">
        <v>245</v>
      </c>
      <c r="F55" s="61" t="n">
        <v>4.41</v>
      </c>
      <c r="G55" s="61" t="n">
        <v>4.2</v>
      </c>
      <c r="H55" s="60" t="n">
        <v>45</v>
      </c>
      <c r="I55" s="62" t="n">
        <f aca="false">IFERROR(F55*H55,"")</f>
        <v>198.45</v>
      </c>
      <c r="J55" s="60" t="n">
        <v>1</v>
      </c>
      <c r="K55" s="62" t="n">
        <f aca="false">IFERROR((F55-J55)*H55,"")</f>
        <v>153.45</v>
      </c>
      <c r="L55" s="63" t="n">
        <f aca="false">IFERROR(IF(F55&gt;0,LN(F55),""),"")</f>
        <v>1.48387468945875</v>
      </c>
      <c r="M55" s="63" t="n">
        <f aca="false">IFERROR(IF(H55&gt;0,LN(H55),""),"")</f>
        <v>3.80666248977032</v>
      </c>
    </row>
    <row r="56" customFormat="false" ht="15" hidden="false" customHeight="true" outlineLevel="0" collapsed="false">
      <c r="A56" s="60" t="n">
        <v>51</v>
      </c>
      <c r="B56" s="60" t="n">
        <v>2</v>
      </c>
      <c r="C56" s="60" t="s">
        <v>244</v>
      </c>
      <c r="D56" s="60" t="s">
        <v>67</v>
      </c>
      <c r="E56" s="60" t="s">
        <v>245</v>
      </c>
      <c r="F56" s="61" t="n">
        <v>4.2</v>
      </c>
      <c r="G56" s="61" t="n">
        <v>4.2</v>
      </c>
      <c r="H56" s="60" t="n">
        <v>56</v>
      </c>
      <c r="I56" s="62" t="n">
        <f aca="false">IFERROR(F56*H56,"")</f>
        <v>235.2</v>
      </c>
      <c r="J56" s="60" t="n">
        <v>1</v>
      </c>
      <c r="K56" s="62" t="n">
        <f aca="false">IFERROR((F56-J56)*H56,"")</f>
        <v>179.2</v>
      </c>
      <c r="L56" s="63" t="n">
        <f aca="false">IFERROR(IF(F56&gt;0,LN(F56),""),"")</f>
        <v>1.43508452528932</v>
      </c>
      <c r="M56" s="63" t="n">
        <f aca="false">IFERROR(IF(H56&gt;0,LN(H56),""),"")</f>
        <v>4.02535169073515</v>
      </c>
    </row>
    <row r="57" customFormat="false" ht="15" hidden="false" customHeight="true" outlineLevel="0" collapsed="false">
      <c r="A57" s="60" t="n">
        <v>52</v>
      </c>
      <c r="B57" s="60" t="n">
        <v>3</v>
      </c>
      <c r="C57" s="60" t="s">
        <v>244</v>
      </c>
      <c r="D57" s="60" t="s">
        <v>67</v>
      </c>
      <c r="E57" s="60" t="s">
        <v>245</v>
      </c>
      <c r="F57" s="61" t="n">
        <v>3.99</v>
      </c>
      <c r="G57" s="61" t="n">
        <v>4.2</v>
      </c>
      <c r="H57" s="60" t="n">
        <v>49</v>
      </c>
      <c r="I57" s="62" t="n">
        <f aca="false">IFERROR(F57*H57,"")</f>
        <v>195.51</v>
      </c>
      <c r="J57" s="60" t="n">
        <v>1</v>
      </c>
      <c r="K57" s="62" t="n">
        <f aca="false">IFERROR((F57-J57)*H57,"")</f>
        <v>146.51</v>
      </c>
      <c r="L57" s="63" t="n">
        <f aca="false">IFERROR(IF(F57&gt;0,LN(F57),""),"")</f>
        <v>1.38379123090177</v>
      </c>
      <c r="M57" s="63" t="n">
        <f aca="false">IFERROR(IF(H57&gt;0,LN(H57),""),"")</f>
        <v>3.89182029811063</v>
      </c>
    </row>
    <row r="58" customFormat="false" ht="15" hidden="false" customHeight="true" outlineLevel="0" collapsed="false">
      <c r="A58" s="60" t="n">
        <v>53</v>
      </c>
      <c r="B58" s="60" t="n">
        <v>4</v>
      </c>
      <c r="C58" s="60" t="s">
        <v>244</v>
      </c>
      <c r="D58" s="60" t="s">
        <v>67</v>
      </c>
      <c r="E58" s="60" t="s">
        <v>245</v>
      </c>
      <c r="F58" s="61" t="n">
        <v>3.99</v>
      </c>
      <c r="G58" s="61" t="n">
        <v>4.2</v>
      </c>
      <c r="H58" s="60" t="n">
        <v>50</v>
      </c>
      <c r="I58" s="62" t="n">
        <f aca="false">IFERROR(F58*H58,"")</f>
        <v>199.5</v>
      </c>
      <c r="J58" s="60" t="n">
        <v>1</v>
      </c>
      <c r="K58" s="62" t="n">
        <f aca="false">IFERROR((F58-J58)*H58,"")</f>
        <v>149.5</v>
      </c>
      <c r="L58" s="63" t="n">
        <f aca="false">IFERROR(IF(F58&gt;0,LN(F58),""),"")</f>
        <v>1.38379123090177</v>
      </c>
      <c r="M58" s="63" t="n">
        <f aca="false">IFERROR(IF(H58&gt;0,LN(H58),""),"")</f>
        <v>3.91202300542815</v>
      </c>
    </row>
    <row r="59" customFormat="false" ht="15" hidden="false" customHeight="true" outlineLevel="0" collapsed="false">
      <c r="A59" s="60" t="n">
        <v>54</v>
      </c>
      <c r="B59" s="60" t="n">
        <v>5</v>
      </c>
      <c r="C59" s="60" t="s">
        <v>244</v>
      </c>
      <c r="D59" s="60" t="s">
        <v>67</v>
      </c>
      <c r="E59" s="60" t="s">
        <v>245</v>
      </c>
      <c r="F59" s="61" t="n">
        <v>3.78</v>
      </c>
      <c r="G59" s="61" t="n">
        <v>4.2</v>
      </c>
      <c r="H59" s="60" t="n">
        <v>57</v>
      </c>
      <c r="I59" s="62" t="n">
        <f aca="false">IFERROR(F59*H59,"")</f>
        <v>215.46</v>
      </c>
      <c r="J59" s="60" t="n">
        <v>1</v>
      </c>
      <c r="K59" s="62" t="n">
        <f aca="false">IFERROR((F59-J59)*H59,"")</f>
        <v>158.46</v>
      </c>
      <c r="L59" s="63" t="n">
        <f aca="false">IFERROR(IF(F59&gt;0,LN(F59),""),"")</f>
        <v>1.3297240096315</v>
      </c>
      <c r="M59" s="63" t="n">
        <f aca="false">IFERROR(IF(H59&gt;0,LN(H59),""),"")</f>
        <v>4.04305126783455</v>
      </c>
    </row>
    <row r="60" customFormat="false" ht="15" hidden="false" customHeight="true" outlineLevel="0" collapsed="false">
      <c r="A60" s="60" t="n">
        <v>55</v>
      </c>
      <c r="B60" s="60" t="n">
        <v>6</v>
      </c>
      <c r="C60" s="60" t="s">
        <v>244</v>
      </c>
      <c r="D60" s="60" t="s">
        <v>67</v>
      </c>
      <c r="E60" s="60" t="s">
        <v>245</v>
      </c>
      <c r="F60" s="61" t="n">
        <v>3.78</v>
      </c>
      <c r="G60" s="61" t="n">
        <v>4.2</v>
      </c>
      <c r="H60" s="60" t="n">
        <v>60</v>
      </c>
      <c r="I60" s="62" t="n">
        <f aca="false">IFERROR(F60*H60,"")</f>
        <v>226.8</v>
      </c>
      <c r="J60" s="60" t="n">
        <v>1</v>
      </c>
      <c r="K60" s="62" t="n">
        <f aca="false">IFERROR((F60-J60)*H60,"")</f>
        <v>166.8</v>
      </c>
      <c r="L60" s="63" t="n">
        <f aca="false">IFERROR(IF(F60&gt;0,LN(F60),""),"")</f>
        <v>1.3297240096315</v>
      </c>
      <c r="M60" s="63" t="n">
        <f aca="false">IFERROR(IF(H60&gt;0,LN(H60),""),"")</f>
        <v>4.0943445622221</v>
      </c>
    </row>
    <row r="61" customFormat="false" ht="15" hidden="false" customHeight="true" outlineLevel="0" collapsed="false">
      <c r="A61" s="60" t="n">
        <v>56</v>
      </c>
      <c r="B61" s="60" t="n">
        <v>7</v>
      </c>
      <c r="C61" s="60" t="s">
        <v>244</v>
      </c>
      <c r="D61" s="60" t="s">
        <v>67</v>
      </c>
      <c r="E61" s="60" t="s">
        <v>245</v>
      </c>
      <c r="F61" s="61" t="n">
        <v>4.62</v>
      </c>
      <c r="G61" s="61" t="n">
        <v>4.2</v>
      </c>
      <c r="H61" s="60" t="n">
        <v>47</v>
      </c>
      <c r="I61" s="62" t="n">
        <f aca="false">IFERROR(F61*H61,"")</f>
        <v>217.14</v>
      </c>
      <c r="J61" s="60" t="n">
        <v>1</v>
      </c>
      <c r="K61" s="62" t="n">
        <f aca="false">IFERROR((F61-J61)*H61,"")</f>
        <v>170.14</v>
      </c>
      <c r="L61" s="63" t="n">
        <f aca="false">IFERROR(IF(F61&gt;0,LN(F61),""),"")</f>
        <v>1.53039470509365</v>
      </c>
      <c r="M61" s="63" t="n">
        <f aca="false">IFERROR(IF(H61&gt;0,LN(H61),""),"")</f>
        <v>3.85014760171006</v>
      </c>
    </row>
    <row r="62" customFormat="false" ht="15" hidden="false" customHeight="true" outlineLevel="0" collapsed="false">
      <c r="A62" s="60" t="n">
        <v>57</v>
      </c>
      <c r="B62" s="60" t="n">
        <v>1</v>
      </c>
      <c r="C62" s="60" t="s">
        <v>244</v>
      </c>
      <c r="D62" s="60" t="s">
        <v>67</v>
      </c>
      <c r="E62" s="60" t="s">
        <v>245</v>
      </c>
      <c r="F62" s="61" t="n">
        <v>4.2</v>
      </c>
      <c r="G62" s="61" t="n">
        <v>4.2</v>
      </c>
      <c r="H62" s="60" t="n">
        <v>44</v>
      </c>
      <c r="I62" s="62" t="n">
        <f aca="false">IFERROR(F62*H62,"")</f>
        <v>184.8</v>
      </c>
      <c r="J62" s="60" t="n">
        <v>1</v>
      </c>
      <c r="K62" s="62" t="n">
        <f aca="false">IFERROR((F62-J62)*H62,"")</f>
        <v>140.8</v>
      </c>
      <c r="L62" s="63" t="n">
        <f aca="false">IFERROR(IF(F62&gt;0,LN(F62),""),"")</f>
        <v>1.43508452528932</v>
      </c>
      <c r="M62" s="63" t="n">
        <f aca="false">IFERROR(IF(H62&gt;0,LN(H62),""),"")</f>
        <v>3.78418963391826</v>
      </c>
    </row>
    <row r="63" customFormat="false" ht="15" hidden="false" customHeight="true" outlineLevel="0" collapsed="false">
      <c r="A63" s="60" t="n">
        <v>58</v>
      </c>
      <c r="B63" s="60" t="n">
        <v>2</v>
      </c>
      <c r="C63" s="60" t="s">
        <v>244</v>
      </c>
      <c r="D63" s="60" t="s">
        <v>67</v>
      </c>
      <c r="E63" s="60" t="s">
        <v>245</v>
      </c>
      <c r="F63" s="61" t="n">
        <v>4.41</v>
      </c>
      <c r="G63" s="61" t="n">
        <v>4.2</v>
      </c>
      <c r="H63" s="60" t="n">
        <v>43</v>
      </c>
      <c r="I63" s="62" t="n">
        <f aca="false">IFERROR(F63*H63,"")</f>
        <v>189.63</v>
      </c>
      <c r="J63" s="60" t="n">
        <v>1</v>
      </c>
      <c r="K63" s="62" t="n">
        <f aca="false">IFERROR((F63-J63)*H63,"")</f>
        <v>146.63</v>
      </c>
      <c r="L63" s="63" t="n">
        <f aca="false">IFERROR(IF(F63&gt;0,LN(F63),""),"")</f>
        <v>1.48387468945875</v>
      </c>
      <c r="M63" s="63" t="n">
        <f aca="false">IFERROR(IF(H63&gt;0,LN(H63),""),"")</f>
        <v>3.76120011569356</v>
      </c>
    </row>
    <row r="64" customFormat="false" ht="15" hidden="false" customHeight="true" outlineLevel="0" collapsed="false">
      <c r="A64" s="60" t="n">
        <v>59</v>
      </c>
      <c r="B64" s="60" t="n">
        <v>3</v>
      </c>
      <c r="C64" s="60" t="s">
        <v>244</v>
      </c>
      <c r="D64" s="60" t="s">
        <v>67</v>
      </c>
      <c r="E64" s="60" t="s">
        <v>245</v>
      </c>
      <c r="F64" s="61" t="n">
        <v>4.2</v>
      </c>
      <c r="G64" s="61" t="n">
        <v>4.2</v>
      </c>
      <c r="H64" s="60" t="n">
        <v>34</v>
      </c>
      <c r="I64" s="62" t="n">
        <f aca="false">IFERROR(F64*H64,"")</f>
        <v>142.8</v>
      </c>
      <c r="J64" s="60" t="n">
        <v>1</v>
      </c>
      <c r="K64" s="62" t="n">
        <f aca="false">IFERROR((F64-J64)*H64,"")</f>
        <v>108.8</v>
      </c>
      <c r="L64" s="63" t="n">
        <f aca="false">IFERROR(IF(F64&gt;0,LN(F64),""),"")</f>
        <v>1.43508452528932</v>
      </c>
      <c r="M64" s="63" t="n">
        <f aca="false">IFERROR(IF(H64&gt;0,LN(H64),""),"")</f>
        <v>3.52636052461616</v>
      </c>
    </row>
    <row r="65" customFormat="false" ht="15" hidden="false" customHeight="true" outlineLevel="0" collapsed="false">
      <c r="A65" s="60" t="n">
        <v>60</v>
      </c>
      <c r="B65" s="60" t="n">
        <v>4</v>
      </c>
      <c r="C65" s="60" t="s">
        <v>244</v>
      </c>
      <c r="D65" s="60" t="s">
        <v>67</v>
      </c>
      <c r="E65" s="60" t="s">
        <v>245</v>
      </c>
      <c r="F65" s="61" t="n">
        <v>3.78</v>
      </c>
      <c r="G65" s="61" t="n">
        <v>4.2</v>
      </c>
      <c r="H65" s="60" t="n">
        <v>53</v>
      </c>
      <c r="I65" s="62" t="n">
        <f aca="false">IFERROR(F65*H65,"")</f>
        <v>200.34</v>
      </c>
      <c r="J65" s="60" t="n">
        <v>1</v>
      </c>
      <c r="K65" s="62" t="n">
        <f aca="false">IFERROR((F65-J65)*H65,"")</f>
        <v>147.34</v>
      </c>
      <c r="L65" s="63" t="n">
        <f aca="false">IFERROR(IF(F65&gt;0,LN(F65),""),"")</f>
        <v>1.3297240096315</v>
      </c>
      <c r="M65" s="63" t="n">
        <f aca="false">IFERROR(IF(H65&gt;0,LN(H65),""),"")</f>
        <v>3.97029191355212</v>
      </c>
    </row>
    <row r="66" customFormat="false" ht="15" hidden="false" customHeight="true" outlineLevel="0" collapsed="false">
      <c r="A66" s="60" t="n">
        <v>61</v>
      </c>
      <c r="B66" s="60" t="n">
        <v>5</v>
      </c>
      <c r="C66" s="60" t="s">
        <v>244</v>
      </c>
      <c r="D66" s="60" t="s">
        <v>67</v>
      </c>
      <c r="E66" s="60" t="s">
        <v>245</v>
      </c>
      <c r="F66" s="61" t="n">
        <v>4.62</v>
      </c>
      <c r="G66" s="61" t="n">
        <v>4.2</v>
      </c>
      <c r="H66" s="60" t="n">
        <v>42</v>
      </c>
      <c r="I66" s="62" t="n">
        <f aca="false">IFERROR(F66*H66,"")</f>
        <v>194.04</v>
      </c>
      <c r="J66" s="60" t="n">
        <v>1</v>
      </c>
      <c r="K66" s="62" t="n">
        <f aca="false">IFERROR((F66-J66)*H66,"")</f>
        <v>152.04</v>
      </c>
      <c r="L66" s="63" t="n">
        <f aca="false">IFERROR(IF(F66&gt;0,LN(F66),""),"")</f>
        <v>1.53039470509365</v>
      </c>
      <c r="M66" s="63" t="n">
        <f aca="false">IFERROR(IF(H66&gt;0,LN(H66),""),"")</f>
        <v>3.73766961828337</v>
      </c>
    </row>
    <row r="67" customFormat="false" ht="15" hidden="false" customHeight="true" outlineLevel="0" collapsed="false">
      <c r="A67" s="60" t="n">
        <v>62</v>
      </c>
      <c r="B67" s="60" t="n">
        <v>6</v>
      </c>
      <c r="C67" s="60" t="s">
        <v>244</v>
      </c>
      <c r="D67" s="60" t="s">
        <v>67</v>
      </c>
      <c r="E67" s="60" t="s">
        <v>245</v>
      </c>
      <c r="F67" s="61" t="n">
        <v>4.41</v>
      </c>
      <c r="G67" s="61" t="n">
        <v>4.2</v>
      </c>
      <c r="H67" s="60" t="n">
        <v>38</v>
      </c>
      <c r="I67" s="62" t="n">
        <f aca="false">IFERROR(F67*H67,"")</f>
        <v>167.58</v>
      </c>
      <c r="J67" s="60" t="n">
        <v>1</v>
      </c>
      <c r="K67" s="62" t="n">
        <f aca="false">IFERROR((F67-J67)*H67,"")</f>
        <v>129.58</v>
      </c>
      <c r="L67" s="63" t="n">
        <f aca="false">IFERROR(IF(F67&gt;0,LN(F67),""),"")</f>
        <v>1.48387468945875</v>
      </c>
      <c r="M67" s="63" t="n">
        <f aca="false">IFERROR(IF(H67&gt;0,LN(H67),""),"")</f>
        <v>3.63758615972639</v>
      </c>
    </row>
    <row r="68" customFormat="false" ht="15" hidden="false" customHeight="true" outlineLevel="0" collapsed="false">
      <c r="A68" s="60" t="n">
        <v>63</v>
      </c>
      <c r="B68" s="60" t="n">
        <v>7</v>
      </c>
      <c r="C68" s="60" t="s">
        <v>244</v>
      </c>
      <c r="D68" s="60" t="s">
        <v>67</v>
      </c>
      <c r="E68" s="60" t="s">
        <v>245</v>
      </c>
      <c r="F68" s="61" t="n">
        <v>4.2</v>
      </c>
      <c r="G68" s="61" t="n">
        <v>4.2</v>
      </c>
      <c r="H68" s="60" t="n">
        <v>51</v>
      </c>
      <c r="I68" s="62" t="n">
        <f aca="false">IFERROR(F68*H68,"")</f>
        <v>214.2</v>
      </c>
      <c r="J68" s="60" t="n">
        <v>1</v>
      </c>
      <c r="K68" s="62" t="n">
        <f aca="false">IFERROR((F68-J68)*H68,"")</f>
        <v>163.2</v>
      </c>
      <c r="L68" s="63" t="n">
        <f aca="false">IFERROR(IF(F68&gt;0,LN(F68),""),"")</f>
        <v>1.43508452528932</v>
      </c>
      <c r="M68" s="63" t="n">
        <f aca="false">IFERROR(IF(H68&gt;0,LN(H68),""),"")</f>
        <v>3.93182563272433</v>
      </c>
    </row>
    <row r="69" customFormat="false" ht="15" hidden="false" customHeight="true" outlineLevel="0" collapsed="false">
      <c r="A69" s="60" t="n">
        <v>64</v>
      </c>
      <c r="B69" s="60" t="n">
        <v>1</v>
      </c>
      <c r="C69" s="60" t="s">
        <v>244</v>
      </c>
      <c r="D69" s="60" t="s">
        <v>67</v>
      </c>
      <c r="E69" s="60" t="s">
        <v>245</v>
      </c>
      <c r="F69" s="61" t="n">
        <v>4.2</v>
      </c>
      <c r="G69" s="61" t="n">
        <v>4.2</v>
      </c>
      <c r="H69" s="60" t="n">
        <v>44</v>
      </c>
      <c r="I69" s="62" t="n">
        <f aca="false">IFERROR(F69*H69,"")</f>
        <v>184.8</v>
      </c>
      <c r="J69" s="60" t="n">
        <v>1</v>
      </c>
      <c r="K69" s="62" t="n">
        <f aca="false">IFERROR((F69-J69)*H69,"")</f>
        <v>140.8</v>
      </c>
      <c r="L69" s="63" t="n">
        <f aca="false">IFERROR(IF(F69&gt;0,LN(F69),""),"")</f>
        <v>1.43508452528932</v>
      </c>
      <c r="M69" s="63" t="n">
        <f aca="false">IFERROR(IF(H69&gt;0,LN(H69),""),"")</f>
        <v>3.78418963391826</v>
      </c>
    </row>
    <row r="70" customFormat="false" ht="15" hidden="false" customHeight="true" outlineLevel="0" collapsed="false">
      <c r="A70" s="60" t="n">
        <v>65</v>
      </c>
      <c r="B70" s="60" t="n">
        <v>2</v>
      </c>
      <c r="C70" s="60" t="s">
        <v>244</v>
      </c>
      <c r="D70" s="60" t="s">
        <v>67</v>
      </c>
      <c r="E70" s="60" t="s">
        <v>245</v>
      </c>
      <c r="F70" s="61" t="n">
        <v>4.2</v>
      </c>
      <c r="G70" s="61" t="n">
        <v>4.2</v>
      </c>
      <c r="H70" s="60" t="n">
        <v>50</v>
      </c>
      <c r="I70" s="62" t="n">
        <f aca="false">IFERROR(F70*H70,"")</f>
        <v>210</v>
      </c>
      <c r="J70" s="60" t="n">
        <v>1</v>
      </c>
      <c r="K70" s="62" t="n">
        <f aca="false">IFERROR((F70-J70)*H70,"")</f>
        <v>160</v>
      </c>
      <c r="L70" s="63" t="n">
        <f aca="false">IFERROR(IF(F70&gt;0,LN(F70),""),"")</f>
        <v>1.43508452528932</v>
      </c>
      <c r="M70" s="63" t="n">
        <f aca="false">IFERROR(IF(H70&gt;0,LN(H70),""),"")</f>
        <v>3.91202300542815</v>
      </c>
    </row>
    <row r="71" customFormat="false" ht="15" hidden="false" customHeight="true" outlineLevel="0" collapsed="false">
      <c r="A71" s="60" t="n">
        <v>66</v>
      </c>
      <c r="B71" s="60" t="n">
        <v>3</v>
      </c>
      <c r="C71" s="60" t="s">
        <v>244</v>
      </c>
      <c r="D71" s="60" t="s">
        <v>67</v>
      </c>
      <c r="E71" s="60" t="s">
        <v>245</v>
      </c>
      <c r="F71" s="61" t="n">
        <v>4.62</v>
      </c>
      <c r="G71" s="61" t="n">
        <v>4.2</v>
      </c>
      <c r="H71" s="60" t="n">
        <v>45</v>
      </c>
      <c r="I71" s="62" t="n">
        <f aca="false">IFERROR(F71*H71,"")</f>
        <v>207.9</v>
      </c>
      <c r="J71" s="60" t="n">
        <v>1</v>
      </c>
      <c r="K71" s="62" t="n">
        <f aca="false">IFERROR((F71-J71)*H71,"")</f>
        <v>162.9</v>
      </c>
      <c r="L71" s="63" t="n">
        <f aca="false">IFERROR(IF(F71&gt;0,LN(F71),""),"")</f>
        <v>1.53039470509365</v>
      </c>
      <c r="M71" s="63" t="n">
        <f aca="false">IFERROR(IF(H71&gt;0,LN(H71),""),"")</f>
        <v>3.80666248977032</v>
      </c>
    </row>
    <row r="72" customFormat="false" ht="15" hidden="false" customHeight="true" outlineLevel="0" collapsed="false">
      <c r="A72" s="60" t="n">
        <v>67</v>
      </c>
      <c r="B72" s="60" t="n">
        <v>4</v>
      </c>
      <c r="C72" s="60" t="s">
        <v>244</v>
      </c>
      <c r="D72" s="60" t="s">
        <v>67</v>
      </c>
      <c r="E72" s="60" t="s">
        <v>245</v>
      </c>
      <c r="F72" s="61" t="n">
        <v>4.62</v>
      </c>
      <c r="G72" s="61" t="n">
        <v>4.2</v>
      </c>
      <c r="H72" s="60" t="n">
        <v>44</v>
      </c>
      <c r="I72" s="62" t="n">
        <f aca="false">IFERROR(F72*H72,"")</f>
        <v>203.28</v>
      </c>
      <c r="J72" s="60" t="n">
        <v>1</v>
      </c>
      <c r="K72" s="62" t="n">
        <f aca="false">IFERROR((F72-J72)*H72,"")</f>
        <v>159.28</v>
      </c>
      <c r="L72" s="63" t="n">
        <f aca="false">IFERROR(IF(F72&gt;0,LN(F72),""),"")</f>
        <v>1.53039470509365</v>
      </c>
      <c r="M72" s="63" t="n">
        <f aca="false">IFERROR(IF(H72&gt;0,LN(H72),""),"")</f>
        <v>3.78418963391826</v>
      </c>
    </row>
    <row r="73" customFormat="false" ht="15" hidden="false" customHeight="true" outlineLevel="0" collapsed="false">
      <c r="A73" s="60" t="n">
        <v>68</v>
      </c>
      <c r="B73" s="60" t="n">
        <v>5</v>
      </c>
      <c r="C73" s="60" t="s">
        <v>244</v>
      </c>
      <c r="D73" s="60" t="s">
        <v>67</v>
      </c>
      <c r="E73" s="60" t="s">
        <v>245</v>
      </c>
      <c r="F73" s="61" t="n">
        <v>3.99</v>
      </c>
      <c r="G73" s="61" t="n">
        <v>4.2</v>
      </c>
      <c r="H73" s="60" t="n">
        <v>64</v>
      </c>
      <c r="I73" s="62" t="n">
        <f aca="false">IFERROR(F73*H73,"")</f>
        <v>255.36</v>
      </c>
      <c r="J73" s="60" t="n">
        <v>1</v>
      </c>
      <c r="K73" s="62" t="n">
        <f aca="false">IFERROR((F73-J73)*H73,"")</f>
        <v>191.36</v>
      </c>
      <c r="L73" s="63" t="n">
        <f aca="false">IFERROR(IF(F73&gt;0,LN(F73),""),"")</f>
        <v>1.38379123090177</v>
      </c>
      <c r="M73" s="63" t="n">
        <f aca="false">IFERROR(IF(H73&gt;0,LN(H73),""),"")</f>
        <v>4.15888308335967</v>
      </c>
    </row>
    <row r="74" customFormat="false" ht="15" hidden="false" customHeight="true" outlineLevel="0" collapsed="false">
      <c r="A74" s="60" t="n">
        <v>69</v>
      </c>
      <c r="B74" s="60" t="n">
        <v>6</v>
      </c>
      <c r="C74" s="60" t="s">
        <v>244</v>
      </c>
      <c r="D74" s="60" t="s">
        <v>67</v>
      </c>
      <c r="E74" s="60" t="s">
        <v>245</v>
      </c>
      <c r="F74" s="61" t="n">
        <v>4.41</v>
      </c>
      <c r="G74" s="61" t="n">
        <v>4.2</v>
      </c>
      <c r="H74" s="60" t="n">
        <v>61</v>
      </c>
      <c r="I74" s="62" t="n">
        <f aca="false">IFERROR(F74*H74,"")</f>
        <v>269.01</v>
      </c>
      <c r="J74" s="60" t="n">
        <v>1</v>
      </c>
      <c r="K74" s="62" t="n">
        <f aca="false">IFERROR((F74-J74)*H74,"")</f>
        <v>208.01</v>
      </c>
      <c r="L74" s="63" t="n">
        <f aca="false">IFERROR(IF(F74&gt;0,LN(F74),""),"")</f>
        <v>1.48387468945875</v>
      </c>
      <c r="M74" s="63" t="n">
        <f aca="false">IFERROR(IF(H74&gt;0,LN(H74),""),"")</f>
        <v>4.11087386417331</v>
      </c>
    </row>
    <row r="75" customFormat="false" ht="15" hidden="false" customHeight="true" outlineLevel="0" collapsed="false">
      <c r="A75" s="60" t="n">
        <v>70</v>
      </c>
      <c r="B75" s="60" t="n">
        <v>7</v>
      </c>
      <c r="C75" s="60" t="s">
        <v>244</v>
      </c>
      <c r="D75" s="60" t="s">
        <v>67</v>
      </c>
      <c r="E75" s="60" t="s">
        <v>245</v>
      </c>
      <c r="F75" s="61" t="n">
        <v>4.2</v>
      </c>
      <c r="G75" s="61" t="n">
        <v>4.2</v>
      </c>
      <c r="H75" s="60" t="n">
        <v>43</v>
      </c>
      <c r="I75" s="62" t="n">
        <f aca="false">IFERROR(F75*H75,"")</f>
        <v>180.6</v>
      </c>
      <c r="J75" s="60" t="n">
        <v>1</v>
      </c>
      <c r="K75" s="62" t="n">
        <f aca="false">IFERROR((F75-J75)*H75,"")</f>
        <v>137.6</v>
      </c>
      <c r="L75" s="63" t="n">
        <f aca="false">IFERROR(IF(F75&gt;0,LN(F75),""),"")</f>
        <v>1.43508452528932</v>
      </c>
      <c r="M75" s="63" t="n">
        <f aca="false">IFERROR(IF(H75&gt;0,LN(H75),""),"")</f>
        <v>3.76120011569356</v>
      </c>
    </row>
    <row r="76" customFormat="false" ht="15" hidden="false" customHeight="true" outlineLevel="0" collapsed="false">
      <c r="A76" s="60" t="n">
        <v>71</v>
      </c>
      <c r="B76" s="60" t="n">
        <v>1</v>
      </c>
      <c r="C76" s="60" t="s">
        <v>244</v>
      </c>
      <c r="D76" s="60" t="s">
        <v>67</v>
      </c>
      <c r="E76" s="60" t="s">
        <v>245</v>
      </c>
      <c r="F76" s="61" t="n">
        <v>4.62</v>
      </c>
      <c r="G76" s="61" t="n">
        <v>4.2</v>
      </c>
      <c r="H76" s="60" t="n">
        <v>40</v>
      </c>
      <c r="I76" s="62" t="n">
        <f aca="false">IFERROR(F76*H76,"")</f>
        <v>184.8</v>
      </c>
      <c r="J76" s="60" t="n">
        <v>1</v>
      </c>
      <c r="K76" s="62" t="n">
        <f aca="false">IFERROR((F76-J76)*H76,"")</f>
        <v>144.8</v>
      </c>
      <c r="L76" s="63" t="n">
        <f aca="false">IFERROR(IF(F76&gt;0,LN(F76),""),"")</f>
        <v>1.53039470509365</v>
      </c>
      <c r="M76" s="63" t="n">
        <f aca="false">IFERROR(IF(H76&gt;0,LN(H76),""),"")</f>
        <v>3.68887945411394</v>
      </c>
    </row>
    <row r="77" customFormat="false" ht="15" hidden="false" customHeight="true" outlineLevel="0" collapsed="false">
      <c r="A77" s="60" t="n">
        <v>72</v>
      </c>
      <c r="B77" s="60" t="n">
        <v>2</v>
      </c>
      <c r="C77" s="60" t="s">
        <v>244</v>
      </c>
      <c r="D77" s="60" t="s">
        <v>67</v>
      </c>
      <c r="E77" s="60" t="s">
        <v>245</v>
      </c>
      <c r="F77" s="61" t="n">
        <v>4.2</v>
      </c>
      <c r="G77" s="61" t="n">
        <v>4.2</v>
      </c>
      <c r="H77" s="60" t="n">
        <v>50</v>
      </c>
      <c r="I77" s="62" t="n">
        <f aca="false">IFERROR(F77*H77,"")</f>
        <v>210</v>
      </c>
      <c r="J77" s="60" t="n">
        <v>1</v>
      </c>
      <c r="K77" s="62" t="n">
        <f aca="false">IFERROR((F77-J77)*H77,"")</f>
        <v>160</v>
      </c>
      <c r="L77" s="63" t="n">
        <f aca="false">IFERROR(IF(F77&gt;0,LN(F77),""),"")</f>
        <v>1.43508452528932</v>
      </c>
      <c r="M77" s="63" t="n">
        <f aca="false">IFERROR(IF(H77&gt;0,LN(H77),""),"")</f>
        <v>3.91202300542815</v>
      </c>
    </row>
    <row r="78" customFormat="false" ht="15" hidden="false" customHeight="true" outlineLevel="0" collapsed="false">
      <c r="A78" s="60" t="n">
        <v>73</v>
      </c>
      <c r="B78" s="60" t="n">
        <v>3</v>
      </c>
      <c r="C78" s="60" t="s">
        <v>244</v>
      </c>
      <c r="D78" s="60" t="s">
        <v>67</v>
      </c>
      <c r="E78" s="60" t="s">
        <v>245</v>
      </c>
      <c r="F78" s="61" t="n">
        <v>3.99</v>
      </c>
      <c r="G78" s="61" t="n">
        <v>4.2</v>
      </c>
      <c r="H78" s="60" t="n">
        <v>42</v>
      </c>
      <c r="I78" s="62" t="n">
        <f aca="false">IFERROR(F78*H78,"")</f>
        <v>167.58</v>
      </c>
      <c r="J78" s="60" t="n">
        <v>1</v>
      </c>
      <c r="K78" s="62" t="n">
        <f aca="false">IFERROR((F78-J78)*H78,"")</f>
        <v>125.58</v>
      </c>
      <c r="L78" s="63" t="n">
        <f aca="false">IFERROR(IF(F78&gt;0,LN(F78),""),"")</f>
        <v>1.38379123090177</v>
      </c>
      <c r="M78" s="63" t="n">
        <f aca="false">IFERROR(IF(H78&gt;0,LN(H78),""),"")</f>
        <v>3.73766961828337</v>
      </c>
    </row>
    <row r="79" customFormat="false" ht="15" hidden="false" customHeight="true" outlineLevel="0" collapsed="false">
      <c r="A79" s="60" t="n">
        <v>74</v>
      </c>
      <c r="B79" s="60" t="n">
        <v>4</v>
      </c>
      <c r="C79" s="60" t="s">
        <v>244</v>
      </c>
      <c r="D79" s="60" t="s">
        <v>67</v>
      </c>
      <c r="E79" s="60" t="s">
        <v>245</v>
      </c>
      <c r="F79" s="61" t="n">
        <v>4.41</v>
      </c>
      <c r="G79" s="61" t="n">
        <v>4.2</v>
      </c>
      <c r="H79" s="60" t="n">
        <v>44</v>
      </c>
      <c r="I79" s="62" t="n">
        <f aca="false">IFERROR(F79*H79,"")</f>
        <v>194.04</v>
      </c>
      <c r="J79" s="60" t="n">
        <v>1</v>
      </c>
      <c r="K79" s="62" t="n">
        <f aca="false">IFERROR((F79-J79)*H79,"")</f>
        <v>150.04</v>
      </c>
      <c r="L79" s="63" t="n">
        <f aca="false">IFERROR(IF(F79&gt;0,LN(F79),""),"")</f>
        <v>1.48387468945875</v>
      </c>
      <c r="M79" s="63" t="n">
        <f aca="false">IFERROR(IF(H79&gt;0,LN(H79),""),"")</f>
        <v>3.78418963391826</v>
      </c>
    </row>
    <row r="80" customFormat="false" ht="15" hidden="false" customHeight="true" outlineLevel="0" collapsed="false">
      <c r="A80" s="60" t="n">
        <v>75</v>
      </c>
      <c r="B80" s="60" t="n">
        <v>5</v>
      </c>
      <c r="C80" s="60" t="s">
        <v>244</v>
      </c>
      <c r="D80" s="60" t="s">
        <v>67</v>
      </c>
      <c r="E80" s="60" t="s">
        <v>245</v>
      </c>
      <c r="F80" s="61" t="n">
        <v>3.78</v>
      </c>
      <c r="G80" s="61" t="n">
        <v>4.2</v>
      </c>
      <c r="H80" s="60" t="n">
        <v>50</v>
      </c>
      <c r="I80" s="62" t="n">
        <f aca="false">IFERROR(F80*H80,"")</f>
        <v>189</v>
      </c>
      <c r="J80" s="60" t="n">
        <v>1</v>
      </c>
      <c r="K80" s="62" t="n">
        <f aca="false">IFERROR((F80-J80)*H80,"")</f>
        <v>139</v>
      </c>
      <c r="L80" s="63" t="n">
        <f aca="false">IFERROR(IF(F80&gt;0,LN(F80),""),"")</f>
        <v>1.3297240096315</v>
      </c>
      <c r="M80" s="63" t="n">
        <f aca="false">IFERROR(IF(H80&gt;0,LN(H80),""),"")</f>
        <v>3.91202300542815</v>
      </c>
    </row>
    <row r="81" customFormat="false" ht="15" hidden="false" customHeight="true" outlineLevel="0" collapsed="false">
      <c r="A81" s="60" t="n">
        <v>76</v>
      </c>
      <c r="B81" s="60" t="n">
        <v>6</v>
      </c>
      <c r="C81" s="60" t="s">
        <v>244</v>
      </c>
      <c r="D81" s="60" t="s">
        <v>67</v>
      </c>
      <c r="E81" s="60" t="s">
        <v>245</v>
      </c>
      <c r="F81" s="61" t="n">
        <v>3.78</v>
      </c>
      <c r="G81" s="61" t="n">
        <v>4.2</v>
      </c>
      <c r="H81" s="60" t="n">
        <v>52</v>
      </c>
      <c r="I81" s="62" t="n">
        <f aca="false">IFERROR(F81*H81,"")</f>
        <v>196.56</v>
      </c>
      <c r="J81" s="60" t="n">
        <v>1</v>
      </c>
      <c r="K81" s="62" t="n">
        <f aca="false">IFERROR((F81-J81)*H81,"")</f>
        <v>144.56</v>
      </c>
      <c r="L81" s="63" t="n">
        <f aca="false">IFERROR(IF(F81&gt;0,LN(F81),""),"")</f>
        <v>1.3297240096315</v>
      </c>
      <c r="M81" s="63" t="n">
        <f aca="false">IFERROR(IF(H81&gt;0,LN(H81),""),"")</f>
        <v>3.95124371858143</v>
      </c>
    </row>
    <row r="82" customFormat="false" ht="15" hidden="false" customHeight="true" outlineLevel="0" collapsed="false">
      <c r="A82" s="60" t="n">
        <v>77</v>
      </c>
      <c r="B82" s="60" t="n">
        <v>7</v>
      </c>
      <c r="C82" s="60" t="s">
        <v>244</v>
      </c>
      <c r="D82" s="60" t="s">
        <v>67</v>
      </c>
      <c r="E82" s="60" t="s">
        <v>245</v>
      </c>
      <c r="F82" s="61" t="n">
        <v>4.2</v>
      </c>
      <c r="G82" s="61" t="n">
        <v>4.2</v>
      </c>
      <c r="H82" s="60" t="n">
        <v>61</v>
      </c>
      <c r="I82" s="62" t="n">
        <f aca="false">IFERROR(F82*H82,"")</f>
        <v>256.2</v>
      </c>
      <c r="J82" s="60" t="n">
        <v>1</v>
      </c>
      <c r="K82" s="62" t="n">
        <f aca="false">IFERROR((F82-J82)*H82,"")</f>
        <v>195.2</v>
      </c>
      <c r="L82" s="63" t="n">
        <f aca="false">IFERROR(IF(F82&gt;0,LN(F82),""),"")</f>
        <v>1.43508452528932</v>
      </c>
      <c r="M82" s="63" t="n">
        <f aca="false">IFERROR(IF(H82&gt;0,LN(H82),""),"")</f>
        <v>4.11087386417331</v>
      </c>
    </row>
    <row r="83" customFormat="false" ht="15" hidden="false" customHeight="true" outlineLevel="0" collapsed="false">
      <c r="A83" s="60" t="n">
        <v>78</v>
      </c>
      <c r="B83" s="60" t="n">
        <v>1</v>
      </c>
      <c r="C83" s="60" t="s">
        <v>244</v>
      </c>
      <c r="D83" s="60" t="s">
        <v>67</v>
      </c>
      <c r="E83" s="60" t="s">
        <v>245</v>
      </c>
      <c r="F83" s="61" t="n">
        <v>4.2</v>
      </c>
      <c r="G83" s="61" t="n">
        <v>4.2</v>
      </c>
      <c r="H83" s="60" t="n">
        <v>41</v>
      </c>
      <c r="I83" s="62" t="n">
        <f aca="false">IFERROR(F83*H83,"")</f>
        <v>172.2</v>
      </c>
      <c r="J83" s="60" t="n">
        <v>1</v>
      </c>
      <c r="K83" s="62" t="n">
        <f aca="false">IFERROR((F83-J83)*H83,"")</f>
        <v>131.2</v>
      </c>
      <c r="L83" s="63" t="n">
        <f aca="false">IFERROR(IF(F83&gt;0,LN(F83),""),"")</f>
        <v>1.43508452528932</v>
      </c>
      <c r="M83" s="63" t="n">
        <f aca="false">IFERROR(IF(H83&gt;0,LN(H83),""),"")</f>
        <v>3.71357206670431</v>
      </c>
    </row>
    <row r="84" customFormat="false" ht="15" hidden="false" customHeight="true" outlineLevel="0" collapsed="false">
      <c r="A84" s="60" t="n">
        <v>79</v>
      </c>
      <c r="B84" s="60" t="n">
        <v>2</v>
      </c>
      <c r="C84" s="60" t="s">
        <v>244</v>
      </c>
      <c r="D84" s="60" t="s">
        <v>67</v>
      </c>
      <c r="E84" s="60" t="s">
        <v>245</v>
      </c>
      <c r="F84" s="61" t="n">
        <v>3.99</v>
      </c>
      <c r="G84" s="61" t="n">
        <v>4.2</v>
      </c>
      <c r="H84" s="60" t="n">
        <v>71</v>
      </c>
      <c r="I84" s="62" t="n">
        <f aca="false">IFERROR(F84*H84,"")</f>
        <v>283.29</v>
      </c>
      <c r="J84" s="60" t="n">
        <v>1</v>
      </c>
      <c r="K84" s="62" t="n">
        <f aca="false">IFERROR((F84-J84)*H84,"")</f>
        <v>212.29</v>
      </c>
      <c r="L84" s="63" t="n">
        <f aca="false">IFERROR(IF(F84&gt;0,LN(F84),""),"")</f>
        <v>1.38379123090177</v>
      </c>
      <c r="M84" s="63" t="n">
        <f aca="false">IFERROR(IF(H84&gt;0,LN(H84),""),"")</f>
        <v>4.26267987704132</v>
      </c>
    </row>
    <row r="85" customFormat="false" ht="15" hidden="false" customHeight="true" outlineLevel="0" collapsed="false">
      <c r="A85" s="60" t="n">
        <v>80</v>
      </c>
      <c r="B85" s="60" t="n">
        <v>3</v>
      </c>
      <c r="C85" s="60" t="s">
        <v>244</v>
      </c>
      <c r="D85" s="60" t="s">
        <v>67</v>
      </c>
      <c r="E85" s="60" t="s">
        <v>245</v>
      </c>
      <c r="F85" s="61" t="n">
        <v>3.78</v>
      </c>
      <c r="G85" s="61" t="n">
        <v>4.2</v>
      </c>
      <c r="H85" s="60" t="n">
        <v>64</v>
      </c>
      <c r="I85" s="62" t="n">
        <f aca="false">IFERROR(F85*H85,"")</f>
        <v>241.92</v>
      </c>
      <c r="J85" s="60" t="n">
        <v>1</v>
      </c>
      <c r="K85" s="62" t="n">
        <f aca="false">IFERROR((F85-J85)*H85,"")</f>
        <v>177.92</v>
      </c>
      <c r="L85" s="63" t="n">
        <f aca="false">IFERROR(IF(F85&gt;0,LN(F85),""),"")</f>
        <v>1.3297240096315</v>
      </c>
      <c r="M85" s="63" t="n">
        <f aca="false">IFERROR(IF(H85&gt;0,LN(H85),""),"")</f>
        <v>4.15888308335967</v>
      </c>
    </row>
    <row r="86" customFormat="false" ht="15" hidden="false" customHeight="true" outlineLevel="0" collapsed="false">
      <c r="A86" s="60" t="n">
        <v>81</v>
      </c>
      <c r="B86" s="60" t="n">
        <v>4</v>
      </c>
      <c r="C86" s="60" t="s">
        <v>244</v>
      </c>
      <c r="D86" s="60" t="s">
        <v>67</v>
      </c>
      <c r="E86" s="60" t="s">
        <v>245</v>
      </c>
      <c r="F86" s="61" t="n">
        <v>3.78</v>
      </c>
      <c r="G86" s="61" t="n">
        <v>4.2</v>
      </c>
      <c r="H86" s="60" t="n">
        <v>56</v>
      </c>
      <c r="I86" s="62" t="n">
        <f aca="false">IFERROR(F86*H86,"")</f>
        <v>211.68</v>
      </c>
      <c r="J86" s="60" t="n">
        <v>1</v>
      </c>
      <c r="K86" s="62" t="n">
        <f aca="false">IFERROR((F86-J86)*H86,"")</f>
        <v>155.68</v>
      </c>
      <c r="L86" s="63" t="n">
        <f aca="false">IFERROR(IF(F86&gt;0,LN(F86),""),"")</f>
        <v>1.3297240096315</v>
      </c>
      <c r="M86" s="63" t="n">
        <f aca="false">IFERROR(IF(H86&gt;0,LN(H86),""),"")</f>
        <v>4.02535169073515</v>
      </c>
    </row>
    <row r="87" customFormat="false" ht="15" hidden="false" customHeight="true" outlineLevel="0" collapsed="false">
      <c r="A87" s="60" t="n">
        <v>82</v>
      </c>
      <c r="B87" s="60" t="n">
        <v>5</v>
      </c>
      <c r="C87" s="60" t="s">
        <v>244</v>
      </c>
      <c r="D87" s="60" t="s">
        <v>67</v>
      </c>
      <c r="E87" s="60" t="s">
        <v>245</v>
      </c>
      <c r="F87" s="61" t="n">
        <v>4.41</v>
      </c>
      <c r="G87" s="61" t="n">
        <v>4.2</v>
      </c>
      <c r="H87" s="60" t="n">
        <v>36</v>
      </c>
      <c r="I87" s="62" t="n">
        <f aca="false">IFERROR(F87*H87,"")</f>
        <v>158.76</v>
      </c>
      <c r="J87" s="60" t="n">
        <v>1</v>
      </c>
      <c r="K87" s="62" t="n">
        <f aca="false">IFERROR((F87-J87)*H87,"")</f>
        <v>122.76</v>
      </c>
      <c r="L87" s="63" t="n">
        <f aca="false">IFERROR(IF(F87&gt;0,LN(F87),""),"")</f>
        <v>1.48387468945875</v>
      </c>
      <c r="M87" s="63" t="n">
        <f aca="false">IFERROR(IF(H87&gt;0,LN(H87),""),"")</f>
        <v>3.58351893845611</v>
      </c>
    </row>
    <row r="88" customFormat="false" ht="15" hidden="false" customHeight="true" outlineLevel="0" collapsed="false">
      <c r="A88" s="60" t="n">
        <v>83</v>
      </c>
      <c r="B88" s="60" t="n">
        <v>6</v>
      </c>
      <c r="C88" s="60" t="s">
        <v>244</v>
      </c>
      <c r="D88" s="60" t="s">
        <v>67</v>
      </c>
      <c r="E88" s="60" t="s">
        <v>245</v>
      </c>
      <c r="F88" s="61" t="n">
        <v>3.99</v>
      </c>
      <c r="G88" s="61" t="n">
        <v>4.2</v>
      </c>
      <c r="H88" s="60" t="n">
        <v>60</v>
      </c>
      <c r="I88" s="62" t="n">
        <f aca="false">IFERROR(F88*H88,"")</f>
        <v>239.4</v>
      </c>
      <c r="J88" s="60" t="n">
        <v>1</v>
      </c>
      <c r="K88" s="62" t="n">
        <f aca="false">IFERROR((F88-J88)*H88,"")</f>
        <v>179.4</v>
      </c>
      <c r="L88" s="63" t="n">
        <f aca="false">IFERROR(IF(F88&gt;0,LN(F88),""),"")</f>
        <v>1.38379123090177</v>
      </c>
      <c r="M88" s="63" t="n">
        <f aca="false">IFERROR(IF(H88&gt;0,LN(H88),""),"")</f>
        <v>4.0943445622221</v>
      </c>
    </row>
    <row r="89" customFormat="false" ht="15" hidden="false" customHeight="true" outlineLevel="0" collapsed="false">
      <c r="A89" s="60" t="n">
        <v>84</v>
      </c>
      <c r="B89" s="60" t="n">
        <v>7</v>
      </c>
      <c r="C89" s="60" t="s">
        <v>244</v>
      </c>
      <c r="D89" s="60" t="s">
        <v>67</v>
      </c>
      <c r="E89" s="60" t="s">
        <v>245</v>
      </c>
      <c r="F89" s="61" t="n">
        <v>4.41</v>
      </c>
      <c r="G89" s="61" t="n">
        <v>4.2</v>
      </c>
      <c r="H89" s="60" t="n">
        <v>53</v>
      </c>
      <c r="I89" s="62" t="n">
        <f aca="false">IFERROR(F89*H89,"")</f>
        <v>233.73</v>
      </c>
      <c r="J89" s="60" t="n">
        <v>1</v>
      </c>
      <c r="K89" s="62" t="n">
        <f aca="false">IFERROR((F89-J89)*H89,"")</f>
        <v>180.73</v>
      </c>
      <c r="L89" s="63" t="n">
        <f aca="false">IFERROR(IF(F89&gt;0,LN(F89),""),"")</f>
        <v>1.48387468945875</v>
      </c>
      <c r="M89" s="63" t="n">
        <f aca="false">IFERROR(IF(H89&gt;0,LN(H89),""),"")</f>
        <v>3.97029191355212</v>
      </c>
    </row>
    <row r="90" customFormat="false" ht="15" hidden="false" customHeight="true" outlineLevel="0" collapsed="false">
      <c r="A90" s="60" t="n">
        <v>85</v>
      </c>
      <c r="B90" s="60" t="n">
        <v>1</v>
      </c>
      <c r="C90" s="60" t="s">
        <v>244</v>
      </c>
      <c r="D90" s="60" t="s">
        <v>67</v>
      </c>
      <c r="E90" s="60" t="s">
        <v>245</v>
      </c>
      <c r="F90" s="61" t="n">
        <v>3.99</v>
      </c>
      <c r="G90" s="61" t="n">
        <v>4.2</v>
      </c>
      <c r="H90" s="60" t="n">
        <v>52</v>
      </c>
      <c r="I90" s="62" t="n">
        <f aca="false">IFERROR(F90*H90,"")</f>
        <v>207.48</v>
      </c>
      <c r="J90" s="60" t="n">
        <v>1</v>
      </c>
      <c r="K90" s="62" t="n">
        <f aca="false">IFERROR((F90-J90)*H90,"")</f>
        <v>155.48</v>
      </c>
      <c r="L90" s="63" t="n">
        <f aca="false">IFERROR(IF(F90&gt;0,LN(F90),""),"")</f>
        <v>1.38379123090177</v>
      </c>
      <c r="M90" s="63" t="n">
        <f aca="false">IFERROR(IF(H90&gt;0,LN(H90),""),"")</f>
        <v>3.95124371858143</v>
      </c>
    </row>
    <row r="91" customFormat="false" ht="15" hidden="false" customHeight="true" outlineLevel="0" collapsed="false">
      <c r="A91" s="60" t="n">
        <v>86</v>
      </c>
      <c r="B91" s="60" t="n">
        <v>2</v>
      </c>
      <c r="C91" s="60" t="s">
        <v>244</v>
      </c>
      <c r="D91" s="60" t="s">
        <v>67</v>
      </c>
      <c r="E91" s="60" t="s">
        <v>245</v>
      </c>
      <c r="F91" s="61" t="n">
        <v>4.2</v>
      </c>
      <c r="G91" s="61" t="n">
        <v>4.2</v>
      </c>
      <c r="H91" s="60" t="n">
        <v>68</v>
      </c>
      <c r="I91" s="62" t="n">
        <f aca="false">IFERROR(F91*H91,"")</f>
        <v>285.6</v>
      </c>
      <c r="J91" s="60" t="n">
        <v>1</v>
      </c>
      <c r="K91" s="62" t="n">
        <f aca="false">IFERROR((F91-J91)*H91,"")</f>
        <v>217.6</v>
      </c>
      <c r="L91" s="63" t="n">
        <f aca="false">IFERROR(IF(F91&gt;0,LN(F91),""),"")</f>
        <v>1.43508452528932</v>
      </c>
      <c r="M91" s="63" t="n">
        <f aca="false">IFERROR(IF(H91&gt;0,LN(H91),""),"")</f>
        <v>4.21950770517611</v>
      </c>
    </row>
    <row r="92" customFormat="false" ht="15" hidden="false" customHeight="true" outlineLevel="0" collapsed="false">
      <c r="A92" s="60" t="n">
        <v>87</v>
      </c>
      <c r="B92" s="60" t="n">
        <v>3</v>
      </c>
      <c r="C92" s="60" t="s">
        <v>244</v>
      </c>
      <c r="D92" s="60" t="s">
        <v>67</v>
      </c>
      <c r="E92" s="60" t="s">
        <v>245</v>
      </c>
      <c r="F92" s="61" t="n">
        <v>3.99</v>
      </c>
      <c r="G92" s="61" t="n">
        <v>4.2</v>
      </c>
      <c r="H92" s="60" t="n">
        <v>67</v>
      </c>
      <c r="I92" s="62" t="n">
        <f aca="false">IFERROR(F92*H92,"")</f>
        <v>267.33</v>
      </c>
      <c r="J92" s="60" t="n">
        <v>1</v>
      </c>
      <c r="K92" s="62" t="n">
        <f aca="false">IFERROR((F92-J92)*H92,"")</f>
        <v>200.33</v>
      </c>
      <c r="L92" s="63" t="n">
        <f aca="false">IFERROR(IF(F92&gt;0,LN(F92),""),"")</f>
        <v>1.38379123090177</v>
      </c>
      <c r="M92" s="63" t="n">
        <f aca="false">IFERROR(IF(H92&gt;0,LN(H92),""),"")</f>
        <v>4.20469261939097</v>
      </c>
    </row>
    <row r="93" customFormat="false" ht="15" hidden="false" customHeight="true" outlineLevel="0" collapsed="false">
      <c r="A93" s="60" t="n">
        <v>88</v>
      </c>
      <c r="B93" s="60" t="n">
        <v>4</v>
      </c>
      <c r="C93" s="60" t="s">
        <v>244</v>
      </c>
      <c r="D93" s="60" t="s">
        <v>67</v>
      </c>
      <c r="E93" s="60" t="s">
        <v>245</v>
      </c>
      <c r="F93" s="61" t="n">
        <v>4.62</v>
      </c>
      <c r="G93" s="61" t="n">
        <v>4.2</v>
      </c>
      <c r="H93" s="60" t="n">
        <v>40</v>
      </c>
      <c r="I93" s="62" t="n">
        <f aca="false">IFERROR(F93*H93,"")</f>
        <v>184.8</v>
      </c>
      <c r="J93" s="60" t="n">
        <v>1</v>
      </c>
      <c r="K93" s="62" t="n">
        <f aca="false">IFERROR((F93-J93)*H93,"")</f>
        <v>144.8</v>
      </c>
      <c r="L93" s="63" t="n">
        <f aca="false">IFERROR(IF(F93&gt;0,LN(F93),""),"")</f>
        <v>1.53039470509365</v>
      </c>
      <c r="M93" s="63" t="n">
        <f aca="false">IFERROR(IF(H93&gt;0,LN(H93),""),"")</f>
        <v>3.68887945411394</v>
      </c>
    </row>
    <row r="94" customFormat="false" ht="15" hidden="false" customHeight="true" outlineLevel="0" collapsed="false">
      <c r="A94" s="60" t="n">
        <v>89</v>
      </c>
      <c r="B94" s="60" t="n">
        <v>5</v>
      </c>
      <c r="C94" s="60" t="s">
        <v>244</v>
      </c>
      <c r="D94" s="60" t="s">
        <v>67</v>
      </c>
      <c r="E94" s="60" t="s">
        <v>245</v>
      </c>
      <c r="F94" s="61" t="n">
        <v>3.99</v>
      </c>
      <c r="G94" s="61" t="n">
        <v>4.2</v>
      </c>
      <c r="H94" s="60" t="n">
        <v>52</v>
      </c>
      <c r="I94" s="62" t="n">
        <f aca="false">IFERROR(F94*H94,"")</f>
        <v>207.48</v>
      </c>
      <c r="J94" s="60" t="n">
        <v>1</v>
      </c>
      <c r="K94" s="62" t="n">
        <f aca="false">IFERROR((F94-J94)*H94,"")</f>
        <v>155.48</v>
      </c>
      <c r="L94" s="63" t="n">
        <f aca="false">IFERROR(IF(F94&gt;0,LN(F94),""),"")</f>
        <v>1.38379123090177</v>
      </c>
      <c r="M94" s="63" t="n">
        <f aca="false">IFERROR(IF(H94&gt;0,LN(H94),""),"")</f>
        <v>3.95124371858143</v>
      </c>
    </row>
    <row r="95" customFormat="false" ht="15" hidden="false" customHeight="true" outlineLevel="0" collapsed="false">
      <c r="A95" s="60" t="n">
        <v>90</v>
      </c>
      <c r="B95" s="60" t="n">
        <v>6</v>
      </c>
      <c r="C95" s="60" t="s">
        <v>244</v>
      </c>
      <c r="D95" s="60" t="s">
        <v>67</v>
      </c>
      <c r="E95" s="60" t="s">
        <v>245</v>
      </c>
      <c r="F95" s="61" t="n">
        <v>4.62</v>
      </c>
      <c r="G95" s="61" t="n">
        <v>4.2</v>
      </c>
      <c r="H95" s="60" t="n">
        <v>38</v>
      </c>
      <c r="I95" s="62" t="n">
        <f aca="false">IFERROR(F95*H95,"")</f>
        <v>175.56</v>
      </c>
      <c r="J95" s="60" t="n">
        <v>1</v>
      </c>
      <c r="K95" s="62" t="n">
        <f aca="false">IFERROR((F95-J95)*H95,"")</f>
        <v>137.56</v>
      </c>
      <c r="L95" s="63" t="n">
        <f aca="false">IFERROR(IF(F95&gt;0,LN(F95),""),"")</f>
        <v>1.53039470509365</v>
      </c>
      <c r="M95" s="63" t="n">
        <f aca="false">IFERROR(IF(H95&gt;0,LN(H95),""),"")</f>
        <v>3.63758615972639</v>
      </c>
    </row>
    <row r="96" customFormat="false" ht="15" hidden="false" customHeight="true" outlineLevel="0" collapsed="false">
      <c r="A96" s="60" t="n">
        <v>1</v>
      </c>
      <c r="B96" s="60" t="n">
        <v>1</v>
      </c>
      <c r="C96" s="60" t="s">
        <v>246</v>
      </c>
      <c r="D96" s="60" t="s">
        <v>71</v>
      </c>
      <c r="E96" s="60" t="s">
        <v>245</v>
      </c>
      <c r="F96" s="61" t="n">
        <v>5.28</v>
      </c>
      <c r="G96" s="61" t="n">
        <v>4.8</v>
      </c>
      <c r="H96" s="60" t="n">
        <v>28</v>
      </c>
      <c r="I96" s="62" t="n">
        <f aca="false">IFERROR(F96*H96,"")</f>
        <v>147.84</v>
      </c>
      <c r="J96" s="60" t="n">
        <v>1.4</v>
      </c>
      <c r="K96" s="62" t="n">
        <f aca="false">IFERROR((F96-J96)*H96,"")</f>
        <v>108.64</v>
      </c>
      <c r="L96" s="63" t="n">
        <f aca="false">IFERROR(IF(F96&gt;0,LN(F96),""),"")</f>
        <v>1.66392609771817</v>
      </c>
      <c r="M96" s="63" t="n">
        <f aca="false">IFERROR(IF(H96&gt;0,LN(H96),""),"")</f>
        <v>3.3322045101752</v>
      </c>
    </row>
    <row r="97" customFormat="false" ht="15" hidden="false" customHeight="true" outlineLevel="0" collapsed="false">
      <c r="A97" s="60" t="n">
        <v>2</v>
      </c>
      <c r="B97" s="60" t="n">
        <v>2</v>
      </c>
      <c r="C97" s="60" t="s">
        <v>246</v>
      </c>
      <c r="D97" s="60" t="s">
        <v>71</v>
      </c>
      <c r="E97" s="60" t="s">
        <v>245</v>
      </c>
      <c r="F97" s="61" t="n">
        <v>4.8</v>
      </c>
      <c r="G97" s="61" t="n">
        <v>4.8</v>
      </c>
      <c r="H97" s="60" t="n">
        <v>50</v>
      </c>
      <c r="I97" s="62" t="n">
        <f aca="false">IFERROR(F97*H97,"")</f>
        <v>240</v>
      </c>
      <c r="J97" s="60" t="n">
        <v>1.4</v>
      </c>
      <c r="K97" s="62" t="n">
        <f aca="false">IFERROR((F97-J97)*H97,"")</f>
        <v>170</v>
      </c>
      <c r="L97" s="63" t="n">
        <f aca="false">IFERROR(IF(F97&gt;0,LN(F97),""),"")</f>
        <v>1.56861591791385</v>
      </c>
      <c r="M97" s="63" t="n">
        <f aca="false">IFERROR(IF(H97&gt;0,LN(H97),""),"")</f>
        <v>3.91202300542815</v>
      </c>
    </row>
    <row r="98" customFormat="false" ht="15" hidden="false" customHeight="true" outlineLevel="0" collapsed="false">
      <c r="A98" s="60" t="n">
        <v>3</v>
      </c>
      <c r="B98" s="60" t="n">
        <v>3</v>
      </c>
      <c r="C98" s="60" t="s">
        <v>246</v>
      </c>
      <c r="D98" s="60" t="s">
        <v>71</v>
      </c>
      <c r="E98" s="60" t="s">
        <v>245</v>
      </c>
      <c r="F98" s="61" t="n">
        <v>4.32</v>
      </c>
      <c r="G98" s="61" t="n">
        <v>4.8</v>
      </c>
      <c r="H98" s="60" t="n">
        <v>46</v>
      </c>
      <c r="I98" s="62" t="n">
        <f aca="false">IFERROR(F98*H98,"")</f>
        <v>198.72</v>
      </c>
      <c r="J98" s="60" t="n">
        <v>1.4</v>
      </c>
      <c r="K98" s="62" t="n">
        <f aca="false">IFERROR((F98-J98)*H98,"")</f>
        <v>134.32</v>
      </c>
      <c r="L98" s="63" t="n">
        <f aca="false">IFERROR(IF(F98&gt;0,LN(F98),""),"")</f>
        <v>1.46325540225602</v>
      </c>
      <c r="M98" s="63" t="n">
        <f aca="false">IFERROR(IF(H98&gt;0,LN(H98),""),"")</f>
        <v>3.8286413964891</v>
      </c>
    </row>
    <row r="99" customFormat="false" ht="15" hidden="false" customHeight="true" outlineLevel="0" collapsed="false">
      <c r="A99" s="60" t="n">
        <v>4</v>
      </c>
      <c r="B99" s="60" t="n">
        <v>4</v>
      </c>
      <c r="C99" s="60" t="s">
        <v>246</v>
      </c>
      <c r="D99" s="60" t="s">
        <v>71</v>
      </c>
      <c r="E99" s="60" t="s">
        <v>245</v>
      </c>
      <c r="F99" s="61" t="n">
        <v>4.32</v>
      </c>
      <c r="G99" s="61" t="n">
        <v>4.8</v>
      </c>
      <c r="H99" s="60" t="n">
        <v>49</v>
      </c>
      <c r="I99" s="62" t="n">
        <f aca="false">IFERROR(F99*H99,"")</f>
        <v>211.68</v>
      </c>
      <c r="J99" s="60" t="n">
        <v>1.4</v>
      </c>
      <c r="K99" s="62" t="n">
        <f aca="false">IFERROR((F99-J99)*H99,"")</f>
        <v>143.08</v>
      </c>
      <c r="L99" s="63" t="n">
        <f aca="false">IFERROR(IF(F99&gt;0,LN(F99),""),"")</f>
        <v>1.46325540225602</v>
      </c>
      <c r="M99" s="63" t="n">
        <f aca="false">IFERROR(IF(H99&gt;0,LN(H99),""),"")</f>
        <v>3.89182029811063</v>
      </c>
    </row>
    <row r="100" customFormat="false" ht="15" hidden="false" customHeight="true" outlineLevel="0" collapsed="false">
      <c r="A100" s="60" t="n">
        <v>5</v>
      </c>
      <c r="B100" s="60" t="n">
        <v>5</v>
      </c>
      <c r="C100" s="60" t="s">
        <v>246</v>
      </c>
      <c r="D100" s="60" t="s">
        <v>71</v>
      </c>
      <c r="E100" s="60" t="s">
        <v>245</v>
      </c>
      <c r="F100" s="61" t="n">
        <v>5.04</v>
      </c>
      <c r="G100" s="61" t="n">
        <v>4.8</v>
      </c>
      <c r="H100" s="60" t="n">
        <v>31</v>
      </c>
      <c r="I100" s="62" t="n">
        <f aca="false">IFERROR(F100*H100,"")</f>
        <v>156.24</v>
      </c>
      <c r="J100" s="60" t="n">
        <v>1.4</v>
      </c>
      <c r="K100" s="62" t="n">
        <f aca="false">IFERROR((F100-J100)*H100,"")</f>
        <v>112.84</v>
      </c>
      <c r="L100" s="63" t="n">
        <f aca="false">IFERROR(IF(F100&gt;0,LN(F100),""),"")</f>
        <v>1.61740608208328</v>
      </c>
      <c r="M100" s="63" t="n">
        <f aca="false">IFERROR(IF(H100&gt;0,LN(H100),""),"")</f>
        <v>3.43398720448515</v>
      </c>
    </row>
    <row r="101" customFormat="false" ht="15" hidden="false" customHeight="true" outlineLevel="0" collapsed="false">
      <c r="A101" s="60" t="n">
        <v>6</v>
      </c>
      <c r="B101" s="60" t="n">
        <v>6</v>
      </c>
      <c r="C101" s="60" t="s">
        <v>246</v>
      </c>
      <c r="D101" s="60" t="s">
        <v>71</v>
      </c>
      <c r="E101" s="60" t="s">
        <v>245</v>
      </c>
      <c r="F101" s="61" t="n">
        <v>4.32</v>
      </c>
      <c r="G101" s="61" t="n">
        <v>4.8</v>
      </c>
      <c r="H101" s="60" t="n">
        <v>43</v>
      </c>
      <c r="I101" s="62" t="n">
        <f aca="false">IFERROR(F101*H101,"")</f>
        <v>185.76</v>
      </c>
      <c r="J101" s="60" t="n">
        <v>1.4</v>
      </c>
      <c r="K101" s="62" t="n">
        <f aca="false">IFERROR((F101-J101)*H101,"")</f>
        <v>125.56</v>
      </c>
      <c r="L101" s="63" t="n">
        <f aca="false">IFERROR(IF(F101&gt;0,LN(F101),""),"")</f>
        <v>1.46325540225602</v>
      </c>
      <c r="M101" s="63" t="n">
        <f aca="false">IFERROR(IF(H101&gt;0,LN(H101),""),"")</f>
        <v>3.76120011569356</v>
      </c>
    </row>
    <row r="102" customFormat="false" ht="15" hidden="false" customHeight="true" outlineLevel="0" collapsed="false">
      <c r="A102" s="60" t="n">
        <v>7</v>
      </c>
      <c r="B102" s="60" t="n">
        <v>7</v>
      </c>
      <c r="C102" s="60" t="s">
        <v>246</v>
      </c>
      <c r="D102" s="60" t="s">
        <v>71</v>
      </c>
      <c r="E102" s="60" t="s">
        <v>245</v>
      </c>
      <c r="F102" s="61" t="n">
        <v>4.32</v>
      </c>
      <c r="G102" s="61" t="n">
        <v>4.8</v>
      </c>
      <c r="H102" s="60" t="n">
        <v>46</v>
      </c>
      <c r="I102" s="62" t="n">
        <f aca="false">IFERROR(F102*H102,"")</f>
        <v>198.72</v>
      </c>
      <c r="J102" s="60" t="n">
        <v>1.4</v>
      </c>
      <c r="K102" s="62" t="n">
        <f aca="false">IFERROR((F102-J102)*H102,"")</f>
        <v>134.32</v>
      </c>
      <c r="L102" s="63" t="n">
        <f aca="false">IFERROR(IF(F102&gt;0,LN(F102),""),"")</f>
        <v>1.46325540225602</v>
      </c>
      <c r="M102" s="63" t="n">
        <f aca="false">IFERROR(IF(H102&gt;0,LN(H102),""),"")</f>
        <v>3.8286413964891</v>
      </c>
    </row>
    <row r="103" customFormat="false" ht="15" hidden="false" customHeight="true" outlineLevel="0" collapsed="false">
      <c r="A103" s="60" t="n">
        <v>8</v>
      </c>
      <c r="B103" s="60" t="n">
        <v>1</v>
      </c>
      <c r="C103" s="60" t="s">
        <v>246</v>
      </c>
      <c r="D103" s="60" t="s">
        <v>71</v>
      </c>
      <c r="E103" s="60" t="s">
        <v>245</v>
      </c>
      <c r="F103" s="61" t="n">
        <v>4.32</v>
      </c>
      <c r="G103" s="61" t="n">
        <v>4.8</v>
      </c>
      <c r="H103" s="60" t="n">
        <v>44</v>
      </c>
      <c r="I103" s="62" t="n">
        <f aca="false">IFERROR(F103*H103,"")</f>
        <v>190.08</v>
      </c>
      <c r="J103" s="60" t="n">
        <v>1.4</v>
      </c>
      <c r="K103" s="62" t="n">
        <f aca="false">IFERROR((F103-J103)*H103,"")</f>
        <v>128.48</v>
      </c>
      <c r="L103" s="63" t="n">
        <f aca="false">IFERROR(IF(F103&gt;0,LN(F103),""),"")</f>
        <v>1.46325540225602</v>
      </c>
      <c r="M103" s="63" t="n">
        <f aca="false">IFERROR(IF(H103&gt;0,LN(H103),""),"")</f>
        <v>3.78418963391826</v>
      </c>
    </row>
    <row r="104" customFormat="false" ht="15" hidden="false" customHeight="true" outlineLevel="0" collapsed="false">
      <c r="A104" s="60" t="n">
        <v>9</v>
      </c>
      <c r="B104" s="60" t="n">
        <v>2</v>
      </c>
      <c r="C104" s="60" t="s">
        <v>246</v>
      </c>
      <c r="D104" s="60" t="s">
        <v>71</v>
      </c>
      <c r="E104" s="60" t="s">
        <v>245</v>
      </c>
      <c r="F104" s="61" t="n">
        <v>4.32</v>
      </c>
      <c r="G104" s="61" t="n">
        <v>4.8</v>
      </c>
      <c r="H104" s="60" t="n">
        <v>48</v>
      </c>
      <c r="I104" s="62" t="n">
        <f aca="false">IFERROR(F104*H104,"")</f>
        <v>207.36</v>
      </c>
      <c r="J104" s="60" t="n">
        <v>1.4</v>
      </c>
      <c r="K104" s="62" t="n">
        <f aca="false">IFERROR((F104-J104)*H104,"")</f>
        <v>140.16</v>
      </c>
      <c r="L104" s="63" t="n">
        <f aca="false">IFERROR(IF(F104&gt;0,LN(F104),""),"")</f>
        <v>1.46325540225602</v>
      </c>
      <c r="M104" s="63" t="n">
        <f aca="false">IFERROR(IF(H104&gt;0,LN(H104),""),"")</f>
        <v>3.87120101090789</v>
      </c>
    </row>
    <row r="105" customFormat="false" ht="15" hidden="false" customHeight="true" outlineLevel="0" collapsed="false">
      <c r="A105" s="60" t="n">
        <v>10</v>
      </c>
      <c r="B105" s="60" t="n">
        <v>3</v>
      </c>
      <c r="C105" s="60" t="s">
        <v>246</v>
      </c>
      <c r="D105" s="60" t="s">
        <v>71</v>
      </c>
      <c r="E105" s="60" t="s">
        <v>245</v>
      </c>
      <c r="F105" s="61" t="n">
        <v>4.56</v>
      </c>
      <c r="G105" s="61" t="n">
        <v>4.8</v>
      </c>
      <c r="H105" s="60" t="n">
        <v>41</v>
      </c>
      <c r="I105" s="62" t="n">
        <f aca="false">IFERROR(F105*H105,"")</f>
        <v>186.96</v>
      </c>
      <c r="J105" s="60" t="n">
        <v>1.4</v>
      </c>
      <c r="K105" s="62" t="n">
        <f aca="false">IFERROR((F105-J105)*H105,"")</f>
        <v>129.56</v>
      </c>
      <c r="L105" s="63" t="n">
        <f aca="false">IFERROR(IF(F105&gt;0,LN(F105),""),"")</f>
        <v>1.51732262352629</v>
      </c>
      <c r="M105" s="63" t="n">
        <f aca="false">IFERROR(IF(H105&gt;0,LN(H105),""),"")</f>
        <v>3.71357206670431</v>
      </c>
    </row>
    <row r="106" customFormat="false" ht="15" hidden="false" customHeight="true" outlineLevel="0" collapsed="false">
      <c r="A106" s="60" t="n">
        <v>11</v>
      </c>
      <c r="B106" s="60" t="n">
        <v>4</v>
      </c>
      <c r="C106" s="60" t="s">
        <v>246</v>
      </c>
      <c r="D106" s="60" t="s">
        <v>71</v>
      </c>
      <c r="E106" s="60" t="s">
        <v>245</v>
      </c>
      <c r="F106" s="61" t="n">
        <v>4.8</v>
      </c>
      <c r="G106" s="61" t="n">
        <v>4.8</v>
      </c>
      <c r="H106" s="60" t="n">
        <v>38</v>
      </c>
      <c r="I106" s="62" t="n">
        <f aca="false">IFERROR(F106*H106,"")</f>
        <v>182.4</v>
      </c>
      <c r="J106" s="60" t="n">
        <v>1.4</v>
      </c>
      <c r="K106" s="62" t="n">
        <f aca="false">IFERROR((F106-J106)*H106,"")</f>
        <v>129.2</v>
      </c>
      <c r="L106" s="63" t="n">
        <f aca="false">IFERROR(IF(F106&gt;0,LN(F106),""),"")</f>
        <v>1.56861591791385</v>
      </c>
      <c r="M106" s="63" t="n">
        <f aca="false">IFERROR(IF(H106&gt;0,LN(H106),""),"")</f>
        <v>3.63758615972639</v>
      </c>
    </row>
    <row r="107" customFormat="false" ht="15" hidden="false" customHeight="true" outlineLevel="0" collapsed="false">
      <c r="A107" s="60" t="n">
        <v>12</v>
      </c>
      <c r="B107" s="60" t="n">
        <v>5</v>
      </c>
      <c r="C107" s="60" t="s">
        <v>246</v>
      </c>
      <c r="D107" s="60" t="s">
        <v>71</v>
      </c>
      <c r="E107" s="60" t="s">
        <v>245</v>
      </c>
      <c r="F107" s="61" t="n">
        <v>4.56</v>
      </c>
      <c r="G107" s="61" t="n">
        <v>4.8</v>
      </c>
      <c r="H107" s="60" t="n">
        <v>39</v>
      </c>
      <c r="I107" s="62" t="n">
        <f aca="false">IFERROR(F107*H107,"")</f>
        <v>177.84</v>
      </c>
      <c r="J107" s="60" t="n">
        <v>1.4</v>
      </c>
      <c r="K107" s="62" t="n">
        <f aca="false">IFERROR((F107-J107)*H107,"")</f>
        <v>123.24</v>
      </c>
      <c r="L107" s="63" t="n">
        <f aca="false">IFERROR(IF(F107&gt;0,LN(F107),""),"")</f>
        <v>1.51732262352629</v>
      </c>
      <c r="M107" s="63" t="n">
        <f aca="false">IFERROR(IF(H107&gt;0,LN(H107),""),"")</f>
        <v>3.66356164612965</v>
      </c>
    </row>
    <row r="108" customFormat="false" ht="15" hidden="false" customHeight="true" outlineLevel="0" collapsed="false">
      <c r="A108" s="60" t="n">
        <v>13</v>
      </c>
      <c r="B108" s="60" t="n">
        <v>6</v>
      </c>
      <c r="C108" s="60" t="s">
        <v>246</v>
      </c>
      <c r="D108" s="60" t="s">
        <v>71</v>
      </c>
      <c r="E108" s="60" t="s">
        <v>245</v>
      </c>
      <c r="F108" s="61" t="n">
        <v>5.28</v>
      </c>
      <c r="G108" s="61" t="n">
        <v>4.8</v>
      </c>
      <c r="H108" s="60" t="n">
        <v>42</v>
      </c>
      <c r="I108" s="62" t="n">
        <f aca="false">IFERROR(F108*H108,"")</f>
        <v>221.76</v>
      </c>
      <c r="J108" s="60" t="n">
        <v>1.4</v>
      </c>
      <c r="K108" s="62" t="n">
        <f aca="false">IFERROR((F108-J108)*H108,"")</f>
        <v>162.96</v>
      </c>
      <c r="L108" s="63" t="n">
        <f aca="false">IFERROR(IF(F108&gt;0,LN(F108),""),"")</f>
        <v>1.66392609771817</v>
      </c>
      <c r="M108" s="63" t="n">
        <f aca="false">IFERROR(IF(H108&gt;0,LN(H108),""),"")</f>
        <v>3.73766961828337</v>
      </c>
    </row>
    <row r="109" customFormat="false" ht="15" hidden="false" customHeight="true" outlineLevel="0" collapsed="false">
      <c r="A109" s="60" t="n">
        <v>14</v>
      </c>
      <c r="B109" s="60" t="n">
        <v>7</v>
      </c>
      <c r="C109" s="60" t="s">
        <v>246</v>
      </c>
      <c r="D109" s="60" t="s">
        <v>71</v>
      </c>
      <c r="E109" s="60" t="s">
        <v>245</v>
      </c>
      <c r="F109" s="61" t="n">
        <v>4.8</v>
      </c>
      <c r="G109" s="61" t="n">
        <v>4.8</v>
      </c>
      <c r="H109" s="60" t="n">
        <v>37</v>
      </c>
      <c r="I109" s="62" t="n">
        <f aca="false">IFERROR(F109*H109,"")</f>
        <v>177.6</v>
      </c>
      <c r="J109" s="60" t="n">
        <v>1.4</v>
      </c>
      <c r="K109" s="62" t="n">
        <f aca="false">IFERROR((F109-J109)*H109,"")</f>
        <v>125.8</v>
      </c>
      <c r="L109" s="63" t="n">
        <f aca="false">IFERROR(IF(F109&gt;0,LN(F109),""),"")</f>
        <v>1.56861591791385</v>
      </c>
      <c r="M109" s="63" t="n">
        <f aca="false">IFERROR(IF(H109&gt;0,LN(H109),""),"")</f>
        <v>3.61091791264422</v>
      </c>
    </row>
    <row r="110" customFormat="false" ht="15" hidden="false" customHeight="true" outlineLevel="0" collapsed="false">
      <c r="A110" s="60" t="n">
        <v>15</v>
      </c>
      <c r="B110" s="60" t="n">
        <v>1</v>
      </c>
      <c r="C110" s="60" t="s">
        <v>246</v>
      </c>
      <c r="D110" s="60" t="s">
        <v>71</v>
      </c>
      <c r="E110" s="60" t="s">
        <v>245</v>
      </c>
      <c r="F110" s="61" t="n">
        <v>4.56</v>
      </c>
      <c r="G110" s="61" t="n">
        <v>4.8</v>
      </c>
      <c r="H110" s="60" t="n">
        <v>46</v>
      </c>
      <c r="I110" s="62" t="n">
        <f aca="false">IFERROR(F110*H110,"")</f>
        <v>209.76</v>
      </c>
      <c r="J110" s="60" t="n">
        <v>1.4</v>
      </c>
      <c r="K110" s="62" t="n">
        <f aca="false">IFERROR((F110-J110)*H110,"")</f>
        <v>145.36</v>
      </c>
      <c r="L110" s="63" t="n">
        <f aca="false">IFERROR(IF(F110&gt;0,LN(F110),""),"")</f>
        <v>1.51732262352629</v>
      </c>
      <c r="M110" s="63" t="n">
        <f aca="false">IFERROR(IF(H110&gt;0,LN(H110),""),"")</f>
        <v>3.8286413964891</v>
      </c>
    </row>
    <row r="111" customFormat="false" ht="15" hidden="false" customHeight="true" outlineLevel="0" collapsed="false">
      <c r="A111" s="60" t="n">
        <v>16</v>
      </c>
      <c r="B111" s="60" t="n">
        <v>2</v>
      </c>
      <c r="C111" s="60" t="s">
        <v>246</v>
      </c>
      <c r="D111" s="60" t="s">
        <v>71</v>
      </c>
      <c r="E111" s="60" t="s">
        <v>245</v>
      </c>
      <c r="F111" s="61" t="n">
        <v>4.56</v>
      </c>
      <c r="G111" s="61" t="n">
        <v>4.8</v>
      </c>
      <c r="H111" s="60" t="n">
        <v>33</v>
      </c>
      <c r="I111" s="62" t="n">
        <f aca="false">IFERROR(F111*H111,"")</f>
        <v>150.48</v>
      </c>
      <c r="J111" s="60" t="n">
        <v>1.4</v>
      </c>
      <c r="K111" s="62" t="n">
        <f aca="false">IFERROR((F111-J111)*H111,"")</f>
        <v>104.28</v>
      </c>
      <c r="L111" s="63" t="n">
        <f aca="false">IFERROR(IF(F111&gt;0,LN(F111),""),"")</f>
        <v>1.51732262352629</v>
      </c>
      <c r="M111" s="63" t="n">
        <f aca="false">IFERROR(IF(H111&gt;0,LN(H111),""),"")</f>
        <v>3.49650756146648</v>
      </c>
    </row>
    <row r="112" customFormat="false" ht="15" hidden="false" customHeight="true" outlineLevel="0" collapsed="false">
      <c r="A112" s="60" t="n">
        <v>17</v>
      </c>
      <c r="B112" s="60" t="n">
        <v>3</v>
      </c>
      <c r="C112" s="60" t="s">
        <v>246</v>
      </c>
      <c r="D112" s="60" t="s">
        <v>71</v>
      </c>
      <c r="E112" s="60" t="s">
        <v>245</v>
      </c>
      <c r="F112" s="61" t="n">
        <v>4.32</v>
      </c>
      <c r="G112" s="61" t="n">
        <v>4.8</v>
      </c>
      <c r="H112" s="60" t="n">
        <v>53</v>
      </c>
      <c r="I112" s="62" t="n">
        <f aca="false">IFERROR(F112*H112,"")</f>
        <v>228.96</v>
      </c>
      <c r="J112" s="60" t="n">
        <v>1.4</v>
      </c>
      <c r="K112" s="62" t="n">
        <f aca="false">IFERROR((F112-J112)*H112,"")</f>
        <v>154.76</v>
      </c>
      <c r="L112" s="63" t="n">
        <f aca="false">IFERROR(IF(F112&gt;0,LN(F112),""),"")</f>
        <v>1.46325540225602</v>
      </c>
      <c r="M112" s="63" t="n">
        <f aca="false">IFERROR(IF(H112&gt;0,LN(H112),""),"")</f>
        <v>3.97029191355212</v>
      </c>
    </row>
    <row r="113" customFormat="false" ht="15" hidden="false" customHeight="true" outlineLevel="0" collapsed="false">
      <c r="A113" s="60" t="n">
        <v>18</v>
      </c>
      <c r="B113" s="60" t="n">
        <v>4</v>
      </c>
      <c r="C113" s="60" t="s">
        <v>246</v>
      </c>
      <c r="D113" s="60" t="s">
        <v>71</v>
      </c>
      <c r="E113" s="60" t="s">
        <v>245</v>
      </c>
      <c r="F113" s="61" t="n">
        <v>4.8</v>
      </c>
      <c r="G113" s="61" t="n">
        <v>4.8</v>
      </c>
      <c r="H113" s="60" t="n">
        <v>44</v>
      </c>
      <c r="I113" s="62" t="n">
        <f aca="false">IFERROR(F113*H113,"")</f>
        <v>211.2</v>
      </c>
      <c r="J113" s="60" t="n">
        <v>1.4</v>
      </c>
      <c r="K113" s="62" t="n">
        <f aca="false">IFERROR((F113-J113)*H113,"")</f>
        <v>149.6</v>
      </c>
      <c r="L113" s="63" t="n">
        <f aca="false">IFERROR(IF(F113&gt;0,LN(F113),""),"")</f>
        <v>1.56861591791385</v>
      </c>
      <c r="M113" s="63" t="n">
        <f aca="false">IFERROR(IF(H113&gt;0,LN(H113),""),"")</f>
        <v>3.78418963391826</v>
      </c>
    </row>
    <row r="114" customFormat="false" ht="15" hidden="false" customHeight="true" outlineLevel="0" collapsed="false">
      <c r="A114" s="60" t="n">
        <v>19</v>
      </c>
      <c r="B114" s="60" t="n">
        <v>5</v>
      </c>
      <c r="C114" s="60" t="s">
        <v>246</v>
      </c>
      <c r="D114" s="60" t="s">
        <v>71</v>
      </c>
      <c r="E114" s="60" t="s">
        <v>245</v>
      </c>
      <c r="F114" s="61" t="n">
        <v>4.8</v>
      </c>
      <c r="G114" s="61" t="n">
        <v>4.8</v>
      </c>
      <c r="H114" s="60" t="n">
        <v>32</v>
      </c>
      <c r="I114" s="62" t="n">
        <f aca="false">IFERROR(F114*H114,"")</f>
        <v>153.6</v>
      </c>
      <c r="J114" s="60" t="n">
        <v>1.4</v>
      </c>
      <c r="K114" s="62" t="n">
        <f aca="false">IFERROR((F114-J114)*H114,"")</f>
        <v>108.8</v>
      </c>
      <c r="L114" s="63" t="n">
        <f aca="false">IFERROR(IF(F114&gt;0,LN(F114),""),"")</f>
        <v>1.56861591791385</v>
      </c>
      <c r="M114" s="63" t="n">
        <f aca="false">IFERROR(IF(H114&gt;0,LN(H114),""),"")</f>
        <v>3.46573590279973</v>
      </c>
    </row>
    <row r="115" customFormat="false" ht="15" hidden="false" customHeight="true" outlineLevel="0" collapsed="false">
      <c r="A115" s="60" t="n">
        <v>20</v>
      </c>
      <c r="B115" s="60" t="n">
        <v>6</v>
      </c>
      <c r="C115" s="60" t="s">
        <v>246</v>
      </c>
      <c r="D115" s="60" t="s">
        <v>71</v>
      </c>
      <c r="E115" s="60" t="s">
        <v>245</v>
      </c>
      <c r="F115" s="61" t="n">
        <v>5.28</v>
      </c>
      <c r="G115" s="61" t="n">
        <v>4.8</v>
      </c>
      <c r="H115" s="60" t="n">
        <v>37</v>
      </c>
      <c r="I115" s="62" t="n">
        <f aca="false">IFERROR(F115*H115,"")</f>
        <v>195.36</v>
      </c>
      <c r="J115" s="60" t="n">
        <v>1.4</v>
      </c>
      <c r="K115" s="62" t="n">
        <f aca="false">IFERROR((F115-J115)*H115,"")</f>
        <v>143.56</v>
      </c>
      <c r="L115" s="63" t="n">
        <f aca="false">IFERROR(IF(F115&gt;0,LN(F115),""),"")</f>
        <v>1.66392609771817</v>
      </c>
      <c r="M115" s="63" t="n">
        <f aca="false">IFERROR(IF(H115&gt;0,LN(H115),""),"")</f>
        <v>3.61091791264422</v>
      </c>
    </row>
    <row r="116" customFormat="false" ht="15" hidden="false" customHeight="true" outlineLevel="0" collapsed="false">
      <c r="A116" s="60" t="n">
        <v>21</v>
      </c>
      <c r="B116" s="60" t="n">
        <v>7</v>
      </c>
      <c r="C116" s="60" t="s">
        <v>246</v>
      </c>
      <c r="D116" s="60" t="s">
        <v>71</v>
      </c>
      <c r="E116" s="60" t="s">
        <v>245</v>
      </c>
      <c r="F116" s="61" t="n">
        <v>5.28</v>
      </c>
      <c r="G116" s="61" t="n">
        <v>4.8</v>
      </c>
      <c r="H116" s="60" t="n">
        <v>37</v>
      </c>
      <c r="I116" s="62" t="n">
        <f aca="false">IFERROR(F116*H116,"")</f>
        <v>195.36</v>
      </c>
      <c r="J116" s="60" t="n">
        <v>1.4</v>
      </c>
      <c r="K116" s="62" t="n">
        <f aca="false">IFERROR((F116-J116)*H116,"")</f>
        <v>143.56</v>
      </c>
      <c r="L116" s="63" t="n">
        <f aca="false">IFERROR(IF(F116&gt;0,LN(F116),""),"")</f>
        <v>1.66392609771817</v>
      </c>
      <c r="M116" s="63" t="n">
        <f aca="false">IFERROR(IF(H116&gt;0,LN(H116),""),"")</f>
        <v>3.61091791264422</v>
      </c>
    </row>
    <row r="117" customFormat="false" ht="15" hidden="false" customHeight="true" outlineLevel="0" collapsed="false">
      <c r="A117" s="60" t="n">
        <v>22</v>
      </c>
      <c r="B117" s="60" t="n">
        <v>1</v>
      </c>
      <c r="C117" s="60" t="s">
        <v>246</v>
      </c>
      <c r="D117" s="60" t="s">
        <v>71</v>
      </c>
      <c r="E117" s="60" t="s">
        <v>245</v>
      </c>
      <c r="F117" s="61" t="n">
        <v>4.8</v>
      </c>
      <c r="G117" s="61" t="n">
        <v>4.8</v>
      </c>
      <c r="H117" s="60" t="n">
        <v>40</v>
      </c>
      <c r="I117" s="62" t="n">
        <f aca="false">IFERROR(F117*H117,"")</f>
        <v>192</v>
      </c>
      <c r="J117" s="60" t="n">
        <v>1.4</v>
      </c>
      <c r="K117" s="62" t="n">
        <f aca="false">IFERROR((F117-J117)*H117,"")</f>
        <v>136</v>
      </c>
      <c r="L117" s="63" t="n">
        <f aca="false">IFERROR(IF(F117&gt;0,LN(F117),""),"")</f>
        <v>1.56861591791385</v>
      </c>
      <c r="M117" s="63" t="n">
        <f aca="false">IFERROR(IF(H117&gt;0,LN(H117),""),"")</f>
        <v>3.68887945411394</v>
      </c>
    </row>
    <row r="118" customFormat="false" ht="15" hidden="false" customHeight="true" outlineLevel="0" collapsed="false">
      <c r="A118" s="60" t="n">
        <v>23</v>
      </c>
      <c r="B118" s="60" t="n">
        <v>2</v>
      </c>
      <c r="C118" s="60" t="s">
        <v>246</v>
      </c>
      <c r="D118" s="60" t="s">
        <v>71</v>
      </c>
      <c r="E118" s="60" t="s">
        <v>245</v>
      </c>
      <c r="F118" s="61" t="n">
        <v>5.28</v>
      </c>
      <c r="G118" s="61" t="n">
        <v>4.8</v>
      </c>
      <c r="H118" s="60" t="n">
        <v>30</v>
      </c>
      <c r="I118" s="62" t="n">
        <f aca="false">IFERROR(F118*H118,"")</f>
        <v>158.4</v>
      </c>
      <c r="J118" s="60" t="n">
        <v>1.4</v>
      </c>
      <c r="K118" s="62" t="n">
        <f aca="false">IFERROR((F118-J118)*H118,"")</f>
        <v>116.4</v>
      </c>
      <c r="L118" s="63" t="n">
        <f aca="false">IFERROR(IF(F118&gt;0,LN(F118),""),"")</f>
        <v>1.66392609771817</v>
      </c>
      <c r="M118" s="63" t="n">
        <f aca="false">IFERROR(IF(H118&gt;0,LN(H118),""),"")</f>
        <v>3.40119738166216</v>
      </c>
    </row>
    <row r="119" customFormat="false" ht="15" hidden="false" customHeight="true" outlineLevel="0" collapsed="false">
      <c r="A119" s="60" t="n">
        <v>24</v>
      </c>
      <c r="B119" s="60" t="n">
        <v>3</v>
      </c>
      <c r="C119" s="60" t="s">
        <v>246</v>
      </c>
      <c r="D119" s="60" t="s">
        <v>71</v>
      </c>
      <c r="E119" s="60" t="s">
        <v>245</v>
      </c>
      <c r="F119" s="61" t="n">
        <v>4.56</v>
      </c>
      <c r="G119" s="61" t="n">
        <v>4.8</v>
      </c>
      <c r="H119" s="60" t="n">
        <v>55</v>
      </c>
      <c r="I119" s="62" t="n">
        <f aca="false">IFERROR(F119*H119,"")</f>
        <v>250.8</v>
      </c>
      <c r="J119" s="60" t="n">
        <v>1.4</v>
      </c>
      <c r="K119" s="62" t="n">
        <f aca="false">IFERROR((F119-J119)*H119,"")</f>
        <v>173.8</v>
      </c>
      <c r="L119" s="63" t="n">
        <f aca="false">IFERROR(IF(F119&gt;0,LN(F119),""),"")</f>
        <v>1.51732262352629</v>
      </c>
      <c r="M119" s="63" t="n">
        <f aca="false">IFERROR(IF(H119&gt;0,LN(H119),""),"")</f>
        <v>4.00733318523247</v>
      </c>
    </row>
    <row r="120" customFormat="false" ht="15" hidden="false" customHeight="true" outlineLevel="0" collapsed="false">
      <c r="A120" s="60" t="n">
        <v>25</v>
      </c>
      <c r="B120" s="60" t="n">
        <v>4</v>
      </c>
      <c r="C120" s="60" t="s">
        <v>246</v>
      </c>
      <c r="D120" s="60" t="s">
        <v>71</v>
      </c>
      <c r="E120" s="60" t="s">
        <v>245</v>
      </c>
      <c r="F120" s="61" t="n">
        <v>4.56</v>
      </c>
      <c r="G120" s="61" t="n">
        <v>4.8</v>
      </c>
      <c r="H120" s="60" t="n">
        <v>46</v>
      </c>
      <c r="I120" s="62" t="n">
        <f aca="false">IFERROR(F120*H120,"")</f>
        <v>209.76</v>
      </c>
      <c r="J120" s="60" t="n">
        <v>1.4</v>
      </c>
      <c r="K120" s="62" t="n">
        <f aca="false">IFERROR((F120-J120)*H120,"")</f>
        <v>145.36</v>
      </c>
      <c r="L120" s="63" t="n">
        <f aca="false">IFERROR(IF(F120&gt;0,LN(F120),""),"")</f>
        <v>1.51732262352629</v>
      </c>
      <c r="M120" s="63" t="n">
        <f aca="false">IFERROR(IF(H120&gt;0,LN(H120),""),"")</f>
        <v>3.8286413964891</v>
      </c>
    </row>
    <row r="121" customFormat="false" ht="15" hidden="false" customHeight="true" outlineLevel="0" collapsed="false">
      <c r="A121" s="60" t="n">
        <v>26</v>
      </c>
      <c r="B121" s="60" t="n">
        <v>5</v>
      </c>
      <c r="C121" s="60" t="s">
        <v>246</v>
      </c>
      <c r="D121" s="60" t="s">
        <v>71</v>
      </c>
      <c r="E121" s="60" t="s">
        <v>245</v>
      </c>
      <c r="F121" s="61" t="n">
        <v>4.8</v>
      </c>
      <c r="G121" s="61" t="n">
        <v>4.8</v>
      </c>
      <c r="H121" s="60" t="n">
        <v>47</v>
      </c>
      <c r="I121" s="62" t="n">
        <f aca="false">IFERROR(F121*H121,"")</f>
        <v>225.6</v>
      </c>
      <c r="J121" s="60" t="n">
        <v>1.4</v>
      </c>
      <c r="K121" s="62" t="n">
        <f aca="false">IFERROR((F121-J121)*H121,"")</f>
        <v>159.8</v>
      </c>
      <c r="L121" s="63" t="n">
        <f aca="false">IFERROR(IF(F121&gt;0,LN(F121),""),"")</f>
        <v>1.56861591791385</v>
      </c>
      <c r="M121" s="63" t="n">
        <f aca="false">IFERROR(IF(H121&gt;0,LN(H121),""),"")</f>
        <v>3.85014760171006</v>
      </c>
    </row>
    <row r="122" customFormat="false" ht="15" hidden="false" customHeight="true" outlineLevel="0" collapsed="false">
      <c r="A122" s="60" t="n">
        <v>27</v>
      </c>
      <c r="B122" s="60" t="n">
        <v>6</v>
      </c>
      <c r="C122" s="60" t="s">
        <v>246</v>
      </c>
      <c r="D122" s="60" t="s">
        <v>71</v>
      </c>
      <c r="E122" s="60" t="s">
        <v>245</v>
      </c>
      <c r="F122" s="61" t="n">
        <v>4.56</v>
      </c>
      <c r="G122" s="61" t="n">
        <v>4.8</v>
      </c>
      <c r="H122" s="60" t="n">
        <v>42</v>
      </c>
      <c r="I122" s="62" t="n">
        <f aca="false">IFERROR(F122*H122,"")</f>
        <v>191.52</v>
      </c>
      <c r="J122" s="60" t="n">
        <v>1.4</v>
      </c>
      <c r="K122" s="62" t="n">
        <f aca="false">IFERROR((F122-J122)*H122,"")</f>
        <v>132.72</v>
      </c>
      <c r="L122" s="63" t="n">
        <f aca="false">IFERROR(IF(F122&gt;0,LN(F122),""),"")</f>
        <v>1.51732262352629</v>
      </c>
      <c r="M122" s="63" t="n">
        <f aca="false">IFERROR(IF(H122&gt;0,LN(H122),""),"")</f>
        <v>3.73766961828337</v>
      </c>
    </row>
    <row r="123" customFormat="false" ht="15" hidden="false" customHeight="true" outlineLevel="0" collapsed="false">
      <c r="A123" s="60" t="n">
        <v>28</v>
      </c>
      <c r="B123" s="60" t="n">
        <v>7</v>
      </c>
      <c r="C123" s="60" t="s">
        <v>246</v>
      </c>
      <c r="D123" s="60" t="s">
        <v>71</v>
      </c>
      <c r="E123" s="60" t="s">
        <v>245</v>
      </c>
      <c r="F123" s="61" t="n">
        <v>4.32</v>
      </c>
      <c r="G123" s="61" t="n">
        <v>4.8</v>
      </c>
      <c r="H123" s="60" t="n">
        <v>52</v>
      </c>
      <c r="I123" s="62" t="n">
        <f aca="false">IFERROR(F123*H123,"")</f>
        <v>224.64</v>
      </c>
      <c r="J123" s="60" t="n">
        <v>1.4</v>
      </c>
      <c r="K123" s="62" t="n">
        <f aca="false">IFERROR((F123-J123)*H123,"")</f>
        <v>151.84</v>
      </c>
      <c r="L123" s="63" t="n">
        <f aca="false">IFERROR(IF(F123&gt;0,LN(F123),""),"")</f>
        <v>1.46325540225602</v>
      </c>
      <c r="M123" s="63" t="n">
        <f aca="false">IFERROR(IF(H123&gt;0,LN(H123),""),"")</f>
        <v>3.95124371858143</v>
      </c>
    </row>
    <row r="124" customFormat="false" ht="15" hidden="false" customHeight="true" outlineLevel="0" collapsed="false">
      <c r="A124" s="60" t="n">
        <v>29</v>
      </c>
      <c r="B124" s="60" t="n">
        <v>1</v>
      </c>
      <c r="C124" s="60" t="s">
        <v>246</v>
      </c>
      <c r="D124" s="60" t="s">
        <v>71</v>
      </c>
      <c r="E124" s="60" t="s">
        <v>245</v>
      </c>
      <c r="F124" s="61" t="n">
        <v>4.8</v>
      </c>
      <c r="G124" s="61" t="n">
        <v>4.8</v>
      </c>
      <c r="H124" s="60" t="n">
        <v>44</v>
      </c>
      <c r="I124" s="62" t="n">
        <f aca="false">IFERROR(F124*H124,"")</f>
        <v>211.2</v>
      </c>
      <c r="J124" s="60" t="n">
        <v>1.4</v>
      </c>
      <c r="K124" s="62" t="n">
        <f aca="false">IFERROR((F124-J124)*H124,"")</f>
        <v>149.6</v>
      </c>
      <c r="L124" s="63" t="n">
        <f aca="false">IFERROR(IF(F124&gt;0,LN(F124),""),"")</f>
        <v>1.56861591791385</v>
      </c>
      <c r="M124" s="63" t="n">
        <f aca="false">IFERROR(IF(H124&gt;0,LN(H124),""),"")</f>
        <v>3.78418963391826</v>
      </c>
    </row>
    <row r="125" customFormat="false" ht="15" hidden="false" customHeight="true" outlineLevel="0" collapsed="false">
      <c r="A125" s="60" t="n">
        <v>30</v>
      </c>
      <c r="B125" s="60" t="n">
        <v>2</v>
      </c>
      <c r="C125" s="60" t="s">
        <v>246</v>
      </c>
      <c r="D125" s="60" t="s">
        <v>71</v>
      </c>
      <c r="E125" s="60" t="s">
        <v>245</v>
      </c>
      <c r="F125" s="61" t="n">
        <v>4.32</v>
      </c>
      <c r="G125" s="61" t="n">
        <v>4.8</v>
      </c>
      <c r="H125" s="60" t="n">
        <v>35</v>
      </c>
      <c r="I125" s="62" t="n">
        <f aca="false">IFERROR(F125*H125,"")</f>
        <v>151.2</v>
      </c>
      <c r="J125" s="60" t="n">
        <v>1.4</v>
      </c>
      <c r="K125" s="62" t="n">
        <f aca="false">IFERROR((F125-J125)*H125,"")</f>
        <v>102.2</v>
      </c>
      <c r="L125" s="63" t="n">
        <f aca="false">IFERROR(IF(F125&gt;0,LN(F125),""),"")</f>
        <v>1.46325540225602</v>
      </c>
      <c r="M125" s="63" t="n">
        <f aca="false">IFERROR(IF(H125&gt;0,LN(H125),""),"")</f>
        <v>3.55534806148941</v>
      </c>
    </row>
    <row r="126" customFormat="false" ht="15" hidden="false" customHeight="true" outlineLevel="0" collapsed="false">
      <c r="A126" s="60" t="n">
        <v>31</v>
      </c>
      <c r="B126" s="60" t="n">
        <v>3</v>
      </c>
      <c r="C126" s="60" t="s">
        <v>246</v>
      </c>
      <c r="D126" s="60" t="s">
        <v>71</v>
      </c>
      <c r="E126" s="60" t="s">
        <v>245</v>
      </c>
      <c r="F126" s="61" t="n">
        <v>4.32</v>
      </c>
      <c r="G126" s="61" t="n">
        <v>4.8</v>
      </c>
      <c r="H126" s="60" t="n">
        <v>42</v>
      </c>
      <c r="I126" s="62" t="n">
        <f aca="false">IFERROR(F126*H126,"")</f>
        <v>181.44</v>
      </c>
      <c r="J126" s="60" t="n">
        <v>1.4</v>
      </c>
      <c r="K126" s="62" t="n">
        <f aca="false">IFERROR((F126-J126)*H126,"")</f>
        <v>122.64</v>
      </c>
      <c r="L126" s="63" t="n">
        <f aca="false">IFERROR(IF(F126&gt;0,LN(F126),""),"")</f>
        <v>1.46325540225602</v>
      </c>
      <c r="M126" s="63" t="n">
        <f aca="false">IFERROR(IF(H126&gt;0,LN(H126),""),"")</f>
        <v>3.73766961828337</v>
      </c>
    </row>
    <row r="127" customFormat="false" ht="15" hidden="false" customHeight="true" outlineLevel="0" collapsed="false">
      <c r="A127" s="60" t="n">
        <v>32</v>
      </c>
      <c r="B127" s="60" t="n">
        <v>4</v>
      </c>
      <c r="C127" s="60" t="s">
        <v>246</v>
      </c>
      <c r="D127" s="60" t="s">
        <v>71</v>
      </c>
      <c r="E127" s="60" t="s">
        <v>245</v>
      </c>
      <c r="F127" s="61" t="n">
        <v>4.32</v>
      </c>
      <c r="G127" s="61" t="n">
        <v>4.8</v>
      </c>
      <c r="H127" s="60" t="n">
        <v>40</v>
      </c>
      <c r="I127" s="62" t="n">
        <f aca="false">IFERROR(F127*H127,"")</f>
        <v>172.8</v>
      </c>
      <c r="J127" s="60" t="n">
        <v>1.4</v>
      </c>
      <c r="K127" s="62" t="n">
        <f aca="false">IFERROR((F127-J127)*H127,"")</f>
        <v>116.8</v>
      </c>
      <c r="L127" s="63" t="n">
        <f aca="false">IFERROR(IF(F127&gt;0,LN(F127),""),"")</f>
        <v>1.46325540225602</v>
      </c>
      <c r="M127" s="63" t="n">
        <f aca="false">IFERROR(IF(H127&gt;0,LN(H127),""),"")</f>
        <v>3.68887945411394</v>
      </c>
    </row>
    <row r="128" customFormat="false" ht="15" hidden="false" customHeight="true" outlineLevel="0" collapsed="false">
      <c r="A128" s="60" t="n">
        <v>33</v>
      </c>
      <c r="B128" s="60" t="n">
        <v>5</v>
      </c>
      <c r="C128" s="60" t="s">
        <v>246</v>
      </c>
      <c r="D128" s="60" t="s">
        <v>71</v>
      </c>
      <c r="E128" s="60" t="s">
        <v>245</v>
      </c>
      <c r="F128" s="61" t="n">
        <v>4.32</v>
      </c>
      <c r="G128" s="61" t="n">
        <v>4.8</v>
      </c>
      <c r="H128" s="60" t="n">
        <v>60</v>
      </c>
      <c r="I128" s="62" t="n">
        <f aca="false">IFERROR(F128*H128,"")</f>
        <v>259.2</v>
      </c>
      <c r="J128" s="60" t="n">
        <v>1.4</v>
      </c>
      <c r="K128" s="62" t="n">
        <f aca="false">IFERROR((F128-J128)*H128,"")</f>
        <v>175.2</v>
      </c>
      <c r="L128" s="63" t="n">
        <f aca="false">IFERROR(IF(F128&gt;0,LN(F128),""),"")</f>
        <v>1.46325540225602</v>
      </c>
      <c r="M128" s="63" t="n">
        <f aca="false">IFERROR(IF(H128&gt;0,LN(H128),""),"")</f>
        <v>4.0943445622221</v>
      </c>
    </row>
    <row r="129" customFormat="false" ht="15" hidden="false" customHeight="true" outlineLevel="0" collapsed="false">
      <c r="A129" s="60" t="n">
        <v>34</v>
      </c>
      <c r="B129" s="60" t="n">
        <v>6</v>
      </c>
      <c r="C129" s="60" t="s">
        <v>246</v>
      </c>
      <c r="D129" s="60" t="s">
        <v>71</v>
      </c>
      <c r="E129" s="60" t="s">
        <v>245</v>
      </c>
      <c r="F129" s="61" t="n">
        <v>4.56</v>
      </c>
      <c r="G129" s="61" t="n">
        <v>4.8</v>
      </c>
      <c r="H129" s="60" t="n">
        <v>38</v>
      </c>
      <c r="I129" s="62" t="n">
        <f aca="false">IFERROR(F129*H129,"")</f>
        <v>173.28</v>
      </c>
      <c r="J129" s="60" t="n">
        <v>1.4</v>
      </c>
      <c r="K129" s="62" t="n">
        <f aca="false">IFERROR((F129-J129)*H129,"")</f>
        <v>120.08</v>
      </c>
      <c r="L129" s="63" t="n">
        <f aca="false">IFERROR(IF(F129&gt;0,LN(F129),""),"")</f>
        <v>1.51732262352629</v>
      </c>
      <c r="M129" s="63" t="n">
        <f aca="false">IFERROR(IF(H129&gt;0,LN(H129),""),"")</f>
        <v>3.63758615972639</v>
      </c>
    </row>
    <row r="130" customFormat="false" ht="15" hidden="false" customHeight="true" outlineLevel="0" collapsed="false">
      <c r="A130" s="60" t="n">
        <v>35</v>
      </c>
      <c r="B130" s="60" t="n">
        <v>7</v>
      </c>
      <c r="C130" s="60" t="s">
        <v>246</v>
      </c>
      <c r="D130" s="60" t="s">
        <v>71</v>
      </c>
      <c r="E130" s="60" t="s">
        <v>245</v>
      </c>
      <c r="F130" s="61" t="n">
        <v>4.8</v>
      </c>
      <c r="G130" s="61" t="n">
        <v>4.8</v>
      </c>
      <c r="H130" s="60" t="n">
        <v>36</v>
      </c>
      <c r="I130" s="62" t="n">
        <f aca="false">IFERROR(F130*H130,"")</f>
        <v>172.8</v>
      </c>
      <c r="J130" s="60" t="n">
        <v>1.4</v>
      </c>
      <c r="K130" s="62" t="n">
        <f aca="false">IFERROR((F130-J130)*H130,"")</f>
        <v>122.4</v>
      </c>
      <c r="L130" s="63" t="n">
        <f aca="false">IFERROR(IF(F130&gt;0,LN(F130),""),"")</f>
        <v>1.56861591791385</v>
      </c>
      <c r="M130" s="63" t="n">
        <f aca="false">IFERROR(IF(H130&gt;0,LN(H130),""),"")</f>
        <v>3.58351893845611</v>
      </c>
    </row>
    <row r="131" customFormat="false" ht="15" hidden="false" customHeight="true" outlineLevel="0" collapsed="false">
      <c r="A131" s="60" t="n">
        <v>36</v>
      </c>
      <c r="B131" s="60" t="n">
        <v>1</v>
      </c>
      <c r="C131" s="60" t="s">
        <v>246</v>
      </c>
      <c r="D131" s="60" t="s">
        <v>71</v>
      </c>
      <c r="E131" s="60" t="s">
        <v>245</v>
      </c>
      <c r="F131" s="61" t="n">
        <v>4.8</v>
      </c>
      <c r="G131" s="61" t="n">
        <v>4.8</v>
      </c>
      <c r="H131" s="60" t="n">
        <v>40</v>
      </c>
      <c r="I131" s="62" t="n">
        <f aca="false">IFERROR(F131*H131,"")</f>
        <v>192</v>
      </c>
      <c r="J131" s="60" t="n">
        <v>1.4</v>
      </c>
      <c r="K131" s="62" t="n">
        <f aca="false">IFERROR((F131-J131)*H131,"")</f>
        <v>136</v>
      </c>
      <c r="L131" s="63" t="n">
        <f aca="false">IFERROR(IF(F131&gt;0,LN(F131),""),"")</f>
        <v>1.56861591791385</v>
      </c>
      <c r="M131" s="63" t="n">
        <f aca="false">IFERROR(IF(H131&gt;0,LN(H131),""),"")</f>
        <v>3.68887945411394</v>
      </c>
    </row>
    <row r="132" customFormat="false" ht="15" hidden="false" customHeight="true" outlineLevel="0" collapsed="false">
      <c r="A132" s="60" t="n">
        <v>37</v>
      </c>
      <c r="B132" s="60" t="n">
        <v>2</v>
      </c>
      <c r="C132" s="60" t="s">
        <v>246</v>
      </c>
      <c r="D132" s="60" t="s">
        <v>71</v>
      </c>
      <c r="E132" s="60" t="s">
        <v>245</v>
      </c>
      <c r="F132" s="61" t="n">
        <v>4.32</v>
      </c>
      <c r="G132" s="61" t="n">
        <v>4.8</v>
      </c>
      <c r="H132" s="60" t="n">
        <v>47</v>
      </c>
      <c r="I132" s="62" t="n">
        <f aca="false">IFERROR(F132*H132,"")</f>
        <v>203.04</v>
      </c>
      <c r="J132" s="60" t="n">
        <v>1.4</v>
      </c>
      <c r="K132" s="62" t="n">
        <f aca="false">IFERROR((F132-J132)*H132,"")</f>
        <v>137.24</v>
      </c>
      <c r="L132" s="63" t="n">
        <f aca="false">IFERROR(IF(F132&gt;0,LN(F132),""),"")</f>
        <v>1.46325540225602</v>
      </c>
      <c r="M132" s="63" t="n">
        <f aca="false">IFERROR(IF(H132&gt;0,LN(H132),""),"")</f>
        <v>3.85014760171006</v>
      </c>
    </row>
    <row r="133" customFormat="false" ht="15" hidden="false" customHeight="true" outlineLevel="0" collapsed="false">
      <c r="A133" s="60" t="n">
        <v>38</v>
      </c>
      <c r="B133" s="60" t="n">
        <v>3</v>
      </c>
      <c r="C133" s="60" t="s">
        <v>246</v>
      </c>
      <c r="D133" s="60" t="s">
        <v>71</v>
      </c>
      <c r="E133" s="60" t="s">
        <v>245</v>
      </c>
      <c r="F133" s="61" t="n">
        <v>4.8</v>
      </c>
      <c r="G133" s="61" t="n">
        <v>4.8</v>
      </c>
      <c r="H133" s="60" t="n">
        <v>40</v>
      </c>
      <c r="I133" s="62" t="n">
        <f aca="false">IFERROR(F133*H133,"")</f>
        <v>192</v>
      </c>
      <c r="J133" s="60" t="n">
        <v>1.4</v>
      </c>
      <c r="K133" s="62" t="n">
        <f aca="false">IFERROR((F133-J133)*H133,"")</f>
        <v>136</v>
      </c>
      <c r="L133" s="63" t="n">
        <f aca="false">IFERROR(IF(F133&gt;0,LN(F133),""),"")</f>
        <v>1.56861591791385</v>
      </c>
      <c r="M133" s="63" t="n">
        <f aca="false">IFERROR(IF(H133&gt;0,LN(H133),""),"")</f>
        <v>3.68887945411394</v>
      </c>
    </row>
    <row r="134" customFormat="false" ht="15" hidden="false" customHeight="true" outlineLevel="0" collapsed="false">
      <c r="A134" s="60" t="n">
        <v>39</v>
      </c>
      <c r="B134" s="60" t="n">
        <v>4</v>
      </c>
      <c r="C134" s="60" t="s">
        <v>246</v>
      </c>
      <c r="D134" s="60" t="s">
        <v>71</v>
      </c>
      <c r="E134" s="60" t="s">
        <v>245</v>
      </c>
      <c r="F134" s="61" t="n">
        <v>4.8</v>
      </c>
      <c r="G134" s="61" t="n">
        <v>4.8</v>
      </c>
      <c r="H134" s="60" t="n">
        <v>51</v>
      </c>
      <c r="I134" s="62" t="n">
        <f aca="false">IFERROR(F134*H134,"")</f>
        <v>244.8</v>
      </c>
      <c r="J134" s="60" t="n">
        <v>1.4</v>
      </c>
      <c r="K134" s="62" t="n">
        <f aca="false">IFERROR((F134-J134)*H134,"")</f>
        <v>173.4</v>
      </c>
      <c r="L134" s="63" t="n">
        <f aca="false">IFERROR(IF(F134&gt;0,LN(F134),""),"")</f>
        <v>1.56861591791385</v>
      </c>
      <c r="M134" s="63" t="n">
        <f aca="false">IFERROR(IF(H134&gt;0,LN(H134),""),"")</f>
        <v>3.93182563272433</v>
      </c>
    </row>
    <row r="135" customFormat="false" ht="15" hidden="false" customHeight="true" outlineLevel="0" collapsed="false">
      <c r="A135" s="60" t="n">
        <v>40</v>
      </c>
      <c r="B135" s="60" t="n">
        <v>5</v>
      </c>
      <c r="C135" s="60" t="s">
        <v>246</v>
      </c>
      <c r="D135" s="60" t="s">
        <v>71</v>
      </c>
      <c r="E135" s="60" t="s">
        <v>245</v>
      </c>
      <c r="F135" s="61" t="n">
        <v>4.8</v>
      </c>
      <c r="G135" s="61" t="n">
        <v>4.8</v>
      </c>
      <c r="H135" s="60" t="n">
        <v>36</v>
      </c>
      <c r="I135" s="62" t="n">
        <f aca="false">IFERROR(F135*H135,"")</f>
        <v>172.8</v>
      </c>
      <c r="J135" s="60" t="n">
        <v>1.4</v>
      </c>
      <c r="K135" s="62" t="n">
        <f aca="false">IFERROR((F135-J135)*H135,"")</f>
        <v>122.4</v>
      </c>
      <c r="L135" s="63" t="n">
        <f aca="false">IFERROR(IF(F135&gt;0,LN(F135),""),"")</f>
        <v>1.56861591791385</v>
      </c>
      <c r="M135" s="63" t="n">
        <f aca="false">IFERROR(IF(H135&gt;0,LN(H135),""),"")</f>
        <v>3.58351893845611</v>
      </c>
    </row>
    <row r="136" customFormat="false" ht="15" hidden="false" customHeight="true" outlineLevel="0" collapsed="false">
      <c r="A136" s="60" t="n">
        <v>41</v>
      </c>
      <c r="B136" s="60" t="n">
        <v>6</v>
      </c>
      <c r="C136" s="60" t="s">
        <v>246</v>
      </c>
      <c r="D136" s="60" t="s">
        <v>71</v>
      </c>
      <c r="E136" s="60" t="s">
        <v>245</v>
      </c>
      <c r="F136" s="61" t="n">
        <v>4.8</v>
      </c>
      <c r="G136" s="61" t="n">
        <v>4.8</v>
      </c>
      <c r="H136" s="60" t="n">
        <v>37</v>
      </c>
      <c r="I136" s="62" t="n">
        <f aca="false">IFERROR(F136*H136,"")</f>
        <v>177.6</v>
      </c>
      <c r="J136" s="60" t="n">
        <v>1.4</v>
      </c>
      <c r="K136" s="62" t="n">
        <f aca="false">IFERROR((F136-J136)*H136,"")</f>
        <v>125.8</v>
      </c>
      <c r="L136" s="63" t="n">
        <f aca="false">IFERROR(IF(F136&gt;0,LN(F136),""),"")</f>
        <v>1.56861591791385</v>
      </c>
      <c r="M136" s="63" t="n">
        <f aca="false">IFERROR(IF(H136&gt;0,LN(H136),""),"")</f>
        <v>3.61091791264422</v>
      </c>
    </row>
    <row r="137" customFormat="false" ht="15" hidden="false" customHeight="true" outlineLevel="0" collapsed="false">
      <c r="A137" s="60" t="n">
        <v>42</v>
      </c>
      <c r="B137" s="60" t="n">
        <v>7</v>
      </c>
      <c r="C137" s="60" t="s">
        <v>246</v>
      </c>
      <c r="D137" s="60" t="s">
        <v>71</v>
      </c>
      <c r="E137" s="60" t="s">
        <v>245</v>
      </c>
      <c r="F137" s="61" t="n">
        <v>5.04</v>
      </c>
      <c r="G137" s="61" t="n">
        <v>4.8</v>
      </c>
      <c r="H137" s="60" t="n">
        <v>30</v>
      </c>
      <c r="I137" s="62" t="n">
        <f aca="false">IFERROR(F137*H137,"")</f>
        <v>151.2</v>
      </c>
      <c r="J137" s="60" t="n">
        <v>1.4</v>
      </c>
      <c r="K137" s="62" t="n">
        <f aca="false">IFERROR((F137-J137)*H137,"")</f>
        <v>109.2</v>
      </c>
      <c r="L137" s="63" t="n">
        <f aca="false">IFERROR(IF(F137&gt;0,LN(F137),""),"")</f>
        <v>1.61740608208328</v>
      </c>
      <c r="M137" s="63" t="n">
        <f aca="false">IFERROR(IF(H137&gt;0,LN(H137),""),"")</f>
        <v>3.40119738166216</v>
      </c>
    </row>
    <row r="138" customFormat="false" ht="15" hidden="false" customHeight="true" outlineLevel="0" collapsed="false">
      <c r="A138" s="60" t="n">
        <v>43</v>
      </c>
      <c r="B138" s="60" t="n">
        <v>1</v>
      </c>
      <c r="C138" s="60" t="s">
        <v>246</v>
      </c>
      <c r="D138" s="60" t="s">
        <v>71</v>
      </c>
      <c r="E138" s="60" t="s">
        <v>245</v>
      </c>
      <c r="F138" s="61" t="n">
        <v>5.28</v>
      </c>
      <c r="G138" s="61" t="n">
        <v>4.8</v>
      </c>
      <c r="H138" s="60" t="n">
        <v>34</v>
      </c>
      <c r="I138" s="62" t="n">
        <f aca="false">IFERROR(F138*H138,"")</f>
        <v>179.52</v>
      </c>
      <c r="J138" s="60" t="n">
        <v>1.4</v>
      </c>
      <c r="K138" s="62" t="n">
        <f aca="false">IFERROR((F138-J138)*H138,"")</f>
        <v>131.92</v>
      </c>
      <c r="L138" s="63" t="n">
        <f aca="false">IFERROR(IF(F138&gt;0,LN(F138),""),"")</f>
        <v>1.66392609771817</v>
      </c>
      <c r="M138" s="63" t="n">
        <f aca="false">IFERROR(IF(H138&gt;0,LN(H138),""),"")</f>
        <v>3.52636052461616</v>
      </c>
    </row>
    <row r="139" customFormat="false" ht="15" hidden="false" customHeight="true" outlineLevel="0" collapsed="false">
      <c r="A139" s="60" t="n">
        <v>44</v>
      </c>
      <c r="B139" s="60" t="n">
        <v>2</v>
      </c>
      <c r="C139" s="60" t="s">
        <v>246</v>
      </c>
      <c r="D139" s="60" t="s">
        <v>71</v>
      </c>
      <c r="E139" s="60" t="s">
        <v>245</v>
      </c>
      <c r="F139" s="61" t="n">
        <v>4.8</v>
      </c>
      <c r="G139" s="61" t="n">
        <v>4.8</v>
      </c>
      <c r="H139" s="60" t="n">
        <v>37</v>
      </c>
      <c r="I139" s="62" t="n">
        <f aca="false">IFERROR(F139*H139,"")</f>
        <v>177.6</v>
      </c>
      <c r="J139" s="60" t="n">
        <v>1.4</v>
      </c>
      <c r="K139" s="62" t="n">
        <f aca="false">IFERROR((F139-J139)*H139,"")</f>
        <v>125.8</v>
      </c>
      <c r="L139" s="63" t="n">
        <f aca="false">IFERROR(IF(F139&gt;0,LN(F139),""),"")</f>
        <v>1.56861591791385</v>
      </c>
      <c r="M139" s="63" t="n">
        <f aca="false">IFERROR(IF(H139&gt;0,LN(H139),""),"")</f>
        <v>3.61091791264422</v>
      </c>
    </row>
    <row r="140" customFormat="false" ht="15" hidden="false" customHeight="true" outlineLevel="0" collapsed="false">
      <c r="A140" s="60" t="n">
        <v>45</v>
      </c>
      <c r="B140" s="60" t="n">
        <v>3</v>
      </c>
      <c r="C140" s="60" t="s">
        <v>246</v>
      </c>
      <c r="D140" s="60" t="s">
        <v>71</v>
      </c>
      <c r="E140" s="60" t="s">
        <v>245</v>
      </c>
      <c r="F140" s="61" t="n">
        <v>4.56</v>
      </c>
      <c r="G140" s="61" t="n">
        <v>4.8</v>
      </c>
      <c r="H140" s="60" t="n">
        <v>52</v>
      </c>
      <c r="I140" s="62" t="n">
        <f aca="false">IFERROR(F140*H140,"")</f>
        <v>237.12</v>
      </c>
      <c r="J140" s="60" t="n">
        <v>1.4</v>
      </c>
      <c r="K140" s="62" t="n">
        <f aca="false">IFERROR((F140-J140)*H140,"")</f>
        <v>164.32</v>
      </c>
      <c r="L140" s="63" t="n">
        <f aca="false">IFERROR(IF(F140&gt;0,LN(F140),""),"")</f>
        <v>1.51732262352629</v>
      </c>
      <c r="M140" s="63" t="n">
        <f aca="false">IFERROR(IF(H140&gt;0,LN(H140),""),"")</f>
        <v>3.95124371858143</v>
      </c>
    </row>
    <row r="141" customFormat="false" ht="15" hidden="false" customHeight="true" outlineLevel="0" collapsed="false">
      <c r="A141" s="60" t="n">
        <v>46</v>
      </c>
      <c r="B141" s="60" t="n">
        <v>4</v>
      </c>
      <c r="C141" s="60" t="s">
        <v>246</v>
      </c>
      <c r="D141" s="60" t="s">
        <v>71</v>
      </c>
      <c r="E141" s="60" t="s">
        <v>245</v>
      </c>
      <c r="F141" s="61" t="n">
        <v>5.04</v>
      </c>
      <c r="G141" s="61" t="n">
        <v>4.8</v>
      </c>
      <c r="H141" s="60" t="n">
        <v>36</v>
      </c>
      <c r="I141" s="62" t="n">
        <f aca="false">IFERROR(F141*H141,"")</f>
        <v>181.44</v>
      </c>
      <c r="J141" s="60" t="n">
        <v>1.4</v>
      </c>
      <c r="K141" s="62" t="n">
        <f aca="false">IFERROR((F141-J141)*H141,"")</f>
        <v>131.04</v>
      </c>
      <c r="L141" s="63" t="n">
        <f aca="false">IFERROR(IF(F141&gt;0,LN(F141),""),"")</f>
        <v>1.61740608208328</v>
      </c>
      <c r="M141" s="63" t="n">
        <f aca="false">IFERROR(IF(H141&gt;0,LN(H141),""),"")</f>
        <v>3.58351893845611</v>
      </c>
    </row>
    <row r="142" customFormat="false" ht="15" hidden="false" customHeight="true" outlineLevel="0" collapsed="false">
      <c r="A142" s="60" t="n">
        <v>47</v>
      </c>
      <c r="B142" s="60" t="n">
        <v>5</v>
      </c>
      <c r="C142" s="60" t="s">
        <v>246</v>
      </c>
      <c r="D142" s="60" t="s">
        <v>71</v>
      </c>
      <c r="E142" s="60" t="s">
        <v>245</v>
      </c>
      <c r="F142" s="61" t="n">
        <v>4.32</v>
      </c>
      <c r="G142" s="61" t="n">
        <v>4.8</v>
      </c>
      <c r="H142" s="60" t="n">
        <v>46</v>
      </c>
      <c r="I142" s="62" t="n">
        <f aca="false">IFERROR(F142*H142,"")</f>
        <v>198.72</v>
      </c>
      <c r="J142" s="60" t="n">
        <v>1.4</v>
      </c>
      <c r="K142" s="62" t="n">
        <f aca="false">IFERROR((F142-J142)*H142,"")</f>
        <v>134.32</v>
      </c>
      <c r="L142" s="63" t="n">
        <f aca="false">IFERROR(IF(F142&gt;0,LN(F142),""),"")</f>
        <v>1.46325540225602</v>
      </c>
      <c r="M142" s="63" t="n">
        <f aca="false">IFERROR(IF(H142&gt;0,LN(H142),""),"")</f>
        <v>3.8286413964891</v>
      </c>
    </row>
    <row r="143" customFormat="false" ht="15" hidden="false" customHeight="true" outlineLevel="0" collapsed="false">
      <c r="A143" s="60" t="n">
        <v>48</v>
      </c>
      <c r="B143" s="60" t="n">
        <v>6</v>
      </c>
      <c r="C143" s="60" t="s">
        <v>246</v>
      </c>
      <c r="D143" s="60" t="s">
        <v>71</v>
      </c>
      <c r="E143" s="60" t="s">
        <v>245</v>
      </c>
      <c r="F143" s="61" t="n">
        <v>5.04</v>
      </c>
      <c r="G143" s="61" t="n">
        <v>4.8</v>
      </c>
      <c r="H143" s="60" t="n">
        <v>35</v>
      </c>
      <c r="I143" s="62" t="n">
        <f aca="false">IFERROR(F143*H143,"")</f>
        <v>176.4</v>
      </c>
      <c r="J143" s="60" t="n">
        <v>1.4</v>
      </c>
      <c r="K143" s="62" t="n">
        <f aca="false">IFERROR((F143-J143)*H143,"")</f>
        <v>127.4</v>
      </c>
      <c r="L143" s="63" t="n">
        <f aca="false">IFERROR(IF(F143&gt;0,LN(F143),""),"")</f>
        <v>1.61740608208328</v>
      </c>
      <c r="M143" s="63" t="n">
        <f aca="false">IFERROR(IF(H143&gt;0,LN(H143),""),"")</f>
        <v>3.55534806148941</v>
      </c>
    </row>
    <row r="144" customFormat="false" ht="15" hidden="false" customHeight="true" outlineLevel="0" collapsed="false">
      <c r="A144" s="60" t="n">
        <v>49</v>
      </c>
      <c r="B144" s="60" t="n">
        <v>7</v>
      </c>
      <c r="C144" s="60" t="s">
        <v>246</v>
      </c>
      <c r="D144" s="60" t="s">
        <v>71</v>
      </c>
      <c r="E144" s="60" t="s">
        <v>245</v>
      </c>
      <c r="F144" s="61" t="n">
        <v>4.8</v>
      </c>
      <c r="G144" s="61" t="n">
        <v>4.8</v>
      </c>
      <c r="H144" s="60" t="n">
        <v>30</v>
      </c>
      <c r="I144" s="62" t="n">
        <f aca="false">IFERROR(F144*H144,"")</f>
        <v>144</v>
      </c>
      <c r="J144" s="60" t="n">
        <v>1.4</v>
      </c>
      <c r="K144" s="62" t="n">
        <f aca="false">IFERROR((F144-J144)*H144,"")</f>
        <v>102</v>
      </c>
      <c r="L144" s="63" t="n">
        <f aca="false">IFERROR(IF(F144&gt;0,LN(F144),""),"")</f>
        <v>1.56861591791385</v>
      </c>
      <c r="M144" s="63" t="n">
        <f aca="false">IFERROR(IF(H144&gt;0,LN(H144),""),"")</f>
        <v>3.40119738166216</v>
      </c>
    </row>
    <row r="145" customFormat="false" ht="15" hidden="false" customHeight="true" outlineLevel="0" collapsed="false">
      <c r="A145" s="60" t="n">
        <v>50</v>
      </c>
      <c r="B145" s="60" t="n">
        <v>1</v>
      </c>
      <c r="C145" s="60" t="s">
        <v>246</v>
      </c>
      <c r="D145" s="60" t="s">
        <v>71</v>
      </c>
      <c r="E145" s="60" t="s">
        <v>245</v>
      </c>
      <c r="F145" s="61" t="n">
        <v>4.56</v>
      </c>
      <c r="G145" s="61" t="n">
        <v>4.8</v>
      </c>
      <c r="H145" s="60" t="n">
        <v>43</v>
      </c>
      <c r="I145" s="62" t="n">
        <f aca="false">IFERROR(F145*H145,"")</f>
        <v>196.08</v>
      </c>
      <c r="J145" s="60" t="n">
        <v>1.4</v>
      </c>
      <c r="K145" s="62" t="n">
        <f aca="false">IFERROR((F145-J145)*H145,"")</f>
        <v>135.88</v>
      </c>
      <c r="L145" s="63" t="n">
        <f aca="false">IFERROR(IF(F145&gt;0,LN(F145),""),"")</f>
        <v>1.51732262352629</v>
      </c>
      <c r="M145" s="63" t="n">
        <f aca="false">IFERROR(IF(H145&gt;0,LN(H145),""),"")</f>
        <v>3.76120011569356</v>
      </c>
    </row>
    <row r="146" customFormat="false" ht="15" hidden="false" customHeight="true" outlineLevel="0" collapsed="false">
      <c r="A146" s="60" t="n">
        <v>51</v>
      </c>
      <c r="B146" s="60" t="n">
        <v>2</v>
      </c>
      <c r="C146" s="60" t="s">
        <v>246</v>
      </c>
      <c r="D146" s="60" t="s">
        <v>71</v>
      </c>
      <c r="E146" s="60" t="s">
        <v>245</v>
      </c>
      <c r="F146" s="61" t="n">
        <v>4.32</v>
      </c>
      <c r="G146" s="61" t="n">
        <v>4.8</v>
      </c>
      <c r="H146" s="60" t="n">
        <v>49</v>
      </c>
      <c r="I146" s="62" t="n">
        <f aca="false">IFERROR(F146*H146,"")</f>
        <v>211.68</v>
      </c>
      <c r="J146" s="60" t="n">
        <v>1.4</v>
      </c>
      <c r="K146" s="62" t="n">
        <f aca="false">IFERROR((F146-J146)*H146,"")</f>
        <v>143.08</v>
      </c>
      <c r="L146" s="63" t="n">
        <f aca="false">IFERROR(IF(F146&gt;0,LN(F146),""),"")</f>
        <v>1.46325540225602</v>
      </c>
      <c r="M146" s="63" t="n">
        <f aca="false">IFERROR(IF(H146&gt;0,LN(H146),""),"")</f>
        <v>3.89182029811063</v>
      </c>
    </row>
    <row r="147" customFormat="false" ht="15" hidden="false" customHeight="true" outlineLevel="0" collapsed="false">
      <c r="A147" s="60" t="n">
        <v>52</v>
      </c>
      <c r="B147" s="60" t="n">
        <v>3</v>
      </c>
      <c r="C147" s="60" t="s">
        <v>246</v>
      </c>
      <c r="D147" s="60" t="s">
        <v>71</v>
      </c>
      <c r="E147" s="60" t="s">
        <v>245</v>
      </c>
      <c r="F147" s="61" t="n">
        <v>4.56</v>
      </c>
      <c r="G147" s="61" t="n">
        <v>4.8</v>
      </c>
      <c r="H147" s="60" t="n">
        <v>42</v>
      </c>
      <c r="I147" s="62" t="n">
        <f aca="false">IFERROR(F147*H147,"")</f>
        <v>191.52</v>
      </c>
      <c r="J147" s="60" t="n">
        <v>1.4</v>
      </c>
      <c r="K147" s="62" t="n">
        <f aca="false">IFERROR((F147-J147)*H147,"")</f>
        <v>132.72</v>
      </c>
      <c r="L147" s="63" t="n">
        <f aca="false">IFERROR(IF(F147&gt;0,LN(F147),""),"")</f>
        <v>1.51732262352629</v>
      </c>
      <c r="M147" s="63" t="n">
        <f aca="false">IFERROR(IF(H147&gt;0,LN(H147),""),"")</f>
        <v>3.73766961828337</v>
      </c>
    </row>
    <row r="148" customFormat="false" ht="15" hidden="false" customHeight="true" outlineLevel="0" collapsed="false">
      <c r="A148" s="60" t="n">
        <v>53</v>
      </c>
      <c r="B148" s="60" t="n">
        <v>4</v>
      </c>
      <c r="C148" s="60" t="s">
        <v>246</v>
      </c>
      <c r="D148" s="60" t="s">
        <v>71</v>
      </c>
      <c r="E148" s="60" t="s">
        <v>245</v>
      </c>
      <c r="F148" s="61" t="n">
        <v>4.32</v>
      </c>
      <c r="G148" s="61" t="n">
        <v>4.8</v>
      </c>
      <c r="H148" s="60" t="n">
        <v>38</v>
      </c>
      <c r="I148" s="62" t="n">
        <f aca="false">IFERROR(F148*H148,"")</f>
        <v>164.16</v>
      </c>
      <c r="J148" s="60" t="n">
        <v>1.4</v>
      </c>
      <c r="K148" s="62" t="n">
        <f aca="false">IFERROR((F148-J148)*H148,"")</f>
        <v>110.96</v>
      </c>
      <c r="L148" s="63" t="n">
        <f aca="false">IFERROR(IF(F148&gt;0,LN(F148),""),"")</f>
        <v>1.46325540225602</v>
      </c>
      <c r="M148" s="63" t="n">
        <f aca="false">IFERROR(IF(H148&gt;0,LN(H148),""),"")</f>
        <v>3.63758615972639</v>
      </c>
    </row>
    <row r="149" customFormat="false" ht="15" hidden="false" customHeight="true" outlineLevel="0" collapsed="false">
      <c r="A149" s="60" t="n">
        <v>54</v>
      </c>
      <c r="B149" s="60" t="n">
        <v>5</v>
      </c>
      <c r="C149" s="60" t="s">
        <v>246</v>
      </c>
      <c r="D149" s="60" t="s">
        <v>71</v>
      </c>
      <c r="E149" s="60" t="s">
        <v>245</v>
      </c>
      <c r="F149" s="61" t="n">
        <v>4.56</v>
      </c>
      <c r="G149" s="61" t="n">
        <v>4.8</v>
      </c>
      <c r="H149" s="60" t="n">
        <v>38</v>
      </c>
      <c r="I149" s="62" t="n">
        <f aca="false">IFERROR(F149*H149,"")</f>
        <v>173.28</v>
      </c>
      <c r="J149" s="60" t="n">
        <v>1.4</v>
      </c>
      <c r="K149" s="62" t="n">
        <f aca="false">IFERROR((F149-J149)*H149,"")</f>
        <v>120.08</v>
      </c>
      <c r="L149" s="63" t="n">
        <f aca="false">IFERROR(IF(F149&gt;0,LN(F149),""),"")</f>
        <v>1.51732262352629</v>
      </c>
      <c r="M149" s="63" t="n">
        <f aca="false">IFERROR(IF(H149&gt;0,LN(H149),""),"")</f>
        <v>3.63758615972639</v>
      </c>
    </row>
    <row r="150" customFormat="false" ht="15" hidden="false" customHeight="true" outlineLevel="0" collapsed="false">
      <c r="A150" s="60" t="n">
        <v>55</v>
      </c>
      <c r="B150" s="60" t="n">
        <v>6</v>
      </c>
      <c r="C150" s="60" t="s">
        <v>246</v>
      </c>
      <c r="D150" s="60" t="s">
        <v>71</v>
      </c>
      <c r="E150" s="60" t="s">
        <v>245</v>
      </c>
      <c r="F150" s="61" t="n">
        <v>4.8</v>
      </c>
      <c r="G150" s="61" t="n">
        <v>4.8</v>
      </c>
      <c r="H150" s="60" t="n">
        <v>50</v>
      </c>
      <c r="I150" s="62" t="n">
        <f aca="false">IFERROR(F150*H150,"")</f>
        <v>240</v>
      </c>
      <c r="J150" s="60" t="n">
        <v>1.4</v>
      </c>
      <c r="K150" s="62" t="n">
        <f aca="false">IFERROR((F150-J150)*H150,"")</f>
        <v>170</v>
      </c>
      <c r="L150" s="63" t="n">
        <f aca="false">IFERROR(IF(F150&gt;0,LN(F150),""),"")</f>
        <v>1.56861591791385</v>
      </c>
      <c r="M150" s="63" t="n">
        <f aca="false">IFERROR(IF(H150&gt;0,LN(H150),""),"")</f>
        <v>3.91202300542815</v>
      </c>
    </row>
    <row r="151" customFormat="false" ht="15" hidden="false" customHeight="true" outlineLevel="0" collapsed="false">
      <c r="A151" s="60" t="n">
        <v>56</v>
      </c>
      <c r="B151" s="60" t="n">
        <v>7</v>
      </c>
      <c r="C151" s="60" t="s">
        <v>246</v>
      </c>
      <c r="D151" s="60" t="s">
        <v>71</v>
      </c>
      <c r="E151" s="60" t="s">
        <v>245</v>
      </c>
      <c r="F151" s="61" t="n">
        <v>4.56</v>
      </c>
      <c r="G151" s="61" t="n">
        <v>4.8</v>
      </c>
      <c r="H151" s="60" t="n">
        <v>53</v>
      </c>
      <c r="I151" s="62" t="n">
        <f aca="false">IFERROR(F151*H151,"")</f>
        <v>241.68</v>
      </c>
      <c r="J151" s="60" t="n">
        <v>1.4</v>
      </c>
      <c r="K151" s="62" t="n">
        <f aca="false">IFERROR((F151-J151)*H151,"")</f>
        <v>167.48</v>
      </c>
      <c r="L151" s="63" t="n">
        <f aca="false">IFERROR(IF(F151&gt;0,LN(F151),""),"")</f>
        <v>1.51732262352629</v>
      </c>
      <c r="M151" s="63" t="n">
        <f aca="false">IFERROR(IF(H151&gt;0,LN(H151),""),"")</f>
        <v>3.97029191355212</v>
      </c>
    </row>
    <row r="152" customFormat="false" ht="15" hidden="false" customHeight="true" outlineLevel="0" collapsed="false">
      <c r="A152" s="60" t="n">
        <v>57</v>
      </c>
      <c r="B152" s="60" t="n">
        <v>1</v>
      </c>
      <c r="C152" s="60" t="s">
        <v>246</v>
      </c>
      <c r="D152" s="60" t="s">
        <v>71</v>
      </c>
      <c r="E152" s="60" t="s">
        <v>245</v>
      </c>
      <c r="F152" s="61" t="n">
        <v>5.04</v>
      </c>
      <c r="G152" s="61" t="n">
        <v>4.8</v>
      </c>
      <c r="H152" s="60" t="n">
        <v>31</v>
      </c>
      <c r="I152" s="62" t="n">
        <f aca="false">IFERROR(F152*H152,"")</f>
        <v>156.24</v>
      </c>
      <c r="J152" s="60" t="n">
        <v>1.4</v>
      </c>
      <c r="K152" s="62" t="n">
        <f aca="false">IFERROR((F152-J152)*H152,"")</f>
        <v>112.84</v>
      </c>
      <c r="L152" s="63" t="n">
        <f aca="false">IFERROR(IF(F152&gt;0,LN(F152),""),"")</f>
        <v>1.61740608208328</v>
      </c>
      <c r="M152" s="63" t="n">
        <f aca="false">IFERROR(IF(H152&gt;0,LN(H152),""),"")</f>
        <v>3.43398720448515</v>
      </c>
    </row>
    <row r="153" customFormat="false" ht="15" hidden="false" customHeight="true" outlineLevel="0" collapsed="false">
      <c r="A153" s="60" t="n">
        <v>58</v>
      </c>
      <c r="B153" s="60" t="n">
        <v>2</v>
      </c>
      <c r="C153" s="60" t="s">
        <v>246</v>
      </c>
      <c r="D153" s="60" t="s">
        <v>71</v>
      </c>
      <c r="E153" s="60" t="s">
        <v>245</v>
      </c>
      <c r="F153" s="61" t="n">
        <v>4.8</v>
      </c>
      <c r="G153" s="61" t="n">
        <v>4.8</v>
      </c>
      <c r="H153" s="60" t="n">
        <v>36</v>
      </c>
      <c r="I153" s="62" t="n">
        <f aca="false">IFERROR(F153*H153,"")</f>
        <v>172.8</v>
      </c>
      <c r="J153" s="60" t="n">
        <v>1.4</v>
      </c>
      <c r="K153" s="62" t="n">
        <f aca="false">IFERROR((F153-J153)*H153,"")</f>
        <v>122.4</v>
      </c>
      <c r="L153" s="63" t="n">
        <f aca="false">IFERROR(IF(F153&gt;0,LN(F153),""),"")</f>
        <v>1.56861591791385</v>
      </c>
      <c r="M153" s="63" t="n">
        <f aca="false">IFERROR(IF(H153&gt;0,LN(H153),""),"")</f>
        <v>3.58351893845611</v>
      </c>
    </row>
    <row r="154" customFormat="false" ht="15" hidden="false" customHeight="true" outlineLevel="0" collapsed="false">
      <c r="A154" s="60" t="n">
        <v>59</v>
      </c>
      <c r="B154" s="60" t="n">
        <v>3</v>
      </c>
      <c r="C154" s="60" t="s">
        <v>246</v>
      </c>
      <c r="D154" s="60" t="s">
        <v>71</v>
      </c>
      <c r="E154" s="60" t="s">
        <v>245</v>
      </c>
      <c r="F154" s="61" t="n">
        <v>5.28</v>
      </c>
      <c r="G154" s="61" t="n">
        <v>4.8</v>
      </c>
      <c r="H154" s="60" t="n">
        <v>30</v>
      </c>
      <c r="I154" s="62" t="n">
        <f aca="false">IFERROR(F154*H154,"")</f>
        <v>158.4</v>
      </c>
      <c r="J154" s="60" t="n">
        <v>1.4</v>
      </c>
      <c r="K154" s="62" t="n">
        <f aca="false">IFERROR((F154-J154)*H154,"")</f>
        <v>116.4</v>
      </c>
      <c r="L154" s="63" t="n">
        <f aca="false">IFERROR(IF(F154&gt;0,LN(F154),""),"")</f>
        <v>1.66392609771817</v>
      </c>
      <c r="M154" s="63" t="n">
        <f aca="false">IFERROR(IF(H154&gt;0,LN(H154),""),"")</f>
        <v>3.40119738166216</v>
      </c>
    </row>
    <row r="155" customFormat="false" ht="15" hidden="false" customHeight="true" outlineLevel="0" collapsed="false">
      <c r="A155" s="60" t="n">
        <v>60</v>
      </c>
      <c r="B155" s="60" t="n">
        <v>4</v>
      </c>
      <c r="C155" s="60" t="s">
        <v>246</v>
      </c>
      <c r="D155" s="60" t="s">
        <v>71</v>
      </c>
      <c r="E155" s="60" t="s">
        <v>245</v>
      </c>
      <c r="F155" s="61" t="n">
        <v>4.8</v>
      </c>
      <c r="G155" s="61" t="n">
        <v>4.8</v>
      </c>
      <c r="H155" s="60" t="n">
        <v>37</v>
      </c>
      <c r="I155" s="62" t="n">
        <f aca="false">IFERROR(F155*H155,"")</f>
        <v>177.6</v>
      </c>
      <c r="J155" s="60" t="n">
        <v>1.4</v>
      </c>
      <c r="K155" s="62" t="n">
        <f aca="false">IFERROR((F155-J155)*H155,"")</f>
        <v>125.8</v>
      </c>
      <c r="L155" s="63" t="n">
        <f aca="false">IFERROR(IF(F155&gt;0,LN(F155),""),"")</f>
        <v>1.56861591791385</v>
      </c>
      <c r="M155" s="63" t="n">
        <f aca="false">IFERROR(IF(H155&gt;0,LN(H155),""),"")</f>
        <v>3.61091791264422</v>
      </c>
    </row>
    <row r="156" customFormat="false" ht="15" hidden="false" customHeight="true" outlineLevel="0" collapsed="false">
      <c r="A156" s="60" t="n">
        <v>61</v>
      </c>
      <c r="B156" s="60" t="n">
        <v>5</v>
      </c>
      <c r="C156" s="60" t="s">
        <v>246</v>
      </c>
      <c r="D156" s="60" t="s">
        <v>71</v>
      </c>
      <c r="E156" s="60" t="s">
        <v>245</v>
      </c>
      <c r="F156" s="61" t="n">
        <v>4.56</v>
      </c>
      <c r="G156" s="61" t="n">
        <v>4.8</v>
      </c>
      <c r="H156" s="60" t="n">
        <v>40</v>
      </c>
      <c r="I156" s="62" t="n">
        <f aca="false">IFERROR(F156*H156,"")</f>
        <v>182.4</v>
      </c>
      <c r="J156" s="60" t="n">
        <v>1.4</v>
      </c>
      <c r="K156" s="62" t="n">
        <f aca="false">IFERROR((F156-J156)*H156,"")</f>
        <v>126.4</v>
      </c>
      <c r="L156" s="63" t="n">
        <f aca="false">IFERROR(IF(F156&gt;0,LN(F156),""),"")</f>
        <v>1.51732262352629</v>
      </c>
      <c r="M156" s="63" t="n">
        <f aca="false">IFERROR(IF(H156&gt;0,LN(H156),""),"")</f>
        <v>3.68887945411394</v>
      </c>
    </row>
    <row r="157" customFormat="false" ht="15" hidden="false" customHeight="true" outlineLevel="0" collapsed="false">
      <c r="A157" s="60" t="n">
        <v>62</v>
      </c>
      <c r="B157" s="60" t="n">
        <v>6</v>
      </c>
      <c r="C157" s="60" t="s">
        <v>246</v>
      </c>
      <c r="D157" s="60" t="s">
        <v>71</v>
      </c>
      <c r="E157" s="60" t="s">
        <v>245</v>
      </c>
      <c r="F157" s="61" t="n">
        <v>4.8</v>
      </c>
      <c r="G157" s="61" t="n">
        <v>4.8</v>
      </c>
      <c r="H157" s="60" t="n">
        <v>36</v>
      </c>
      <c r="I157" s="62" t="n">
        <f aca="false">IFERROR(F157*H157,"")</f>
        <v>172.8</v>
      </c>
      <c r="J157" s="60" t="n">
        <v>1.4</v>
      </c>
      <c r="K157" s="62" t="n">
        <f aca="false">IFERROR((F157-J157)*H157,"")</f>
        <v>122.4</v>
      </c>
      <c r="L157" s="63" t="n">
        <f aca="false">IFERROR(IF(F157&gt;0,LN(F157),""),"")</f>
        <v>1.56861591791385</v>
      </c>
      <c r="M157" s="63" t="n">
        <f aca="false">IFERROR(IF(H157&gt;0,LN(H157),""),"")</f>
        <v>3.58351893845611</v>
      </c>
    </row>
    <row r="158" customFormat="false" ht="15" hidden="false" customHeight="true" outlineLevel="0" collapsed="false">
      <c r="A158" s="60" t="n">
        <v>63</v>
      </c>
      <c r="B158" s="60" t="n">
        <v>7</v>
      </c>
      <c r="C158" s="60" t="s">
        <v>246</v>
      </c>
      <c r="D158" s="60" t="s">
        <v>71</v>
      </c>
      <c r="E158" s="60" t="s">
        <v>245</v>
      </c>
      <c r="F158" s="61" t="n">
        <v>4.8</v>
      </c>
      <c r="G158" s="61" t="n">
        <v>4.8</v>
      </c>
      <c r="H158" s="60" t="n">
        <v>46</v>
      </c>
      <c r="I158" s="62" t="n">
        <f aca="false">IFERROR(F158*H158,"")</f>
        <v>220.8</v>
      </c>
      <c r="J158" s="60" t="n">
        <v>1.4</v>
      </c>
      <c r="K158" s="62" t="n">
        <f aca="false">IFERROR((F158-J158)*H158,"")</f>
        <v>156.4</v>
      </c>
      <c r="L158" s="63" t="n">
        <f aca="false">IFERROR(IF(F158&gt;0,LN(F158),""),"")</f>
        <v>1.56861591791385</v>
      </c>
      <c r="M158" s="63" t="n">
        <f aca="false">IFERROR(IF(H158&gt;0,LN(H158),""),"")</f>
        <v>3.8286413964891</v>
      </c>
    </row>
    <row r="159" customFormat="false" ht="15" hidden="false" customHeight="true" outlineLevel="0" collapsed="false">
      <c r="A159" s="60" t="n">
        <v>64</v>
      </c>
      <c r="B159" s="60" t="n">
        <v>1</v>
      </c>
      <c r="C159" s="60" t="s">
        <v>246</v>
      </c>
      <c r="D159" s="60" t="s">
        <v>71</v>
      </c>
      <c r="E159" s="60" t="s">
        <v>245</v>
      </c>
      <c r="F159" s="61" t="n">
        <v>4.8</v>
      </c>
      <c r="G159" s="61" t="n">
        <v>4.8</v>
      </c>
      <c r="H159" s="60" t="n">
        <v>47</v>
      </c>
      <c r="I159" s="62" t="n">
        <f aca="false">IFERROR(F159*H159,"")</f>
        <v>225.6</v>
      </c>
      <c r="J159" s="60" t="n">
        <v>1.4</v>
      </c>
      <c r="K159" s="62" t="n">
        <f aca="false">IFERROR((F159-J159)*H159,"")</f>
        <v>159.8</v>
      </c>
      <c r="L159" s="63" t="n">
        <f aca="false">IFERROR(IF(F159&gt;0,LN(F159),""),"")</f>
        <v>1.56861591791385</v>
      </c>
      <c r="M159" s="63" t="n">
        <f aca="false">IFERROR(IF(H159&gt;0,LN(H159),""),"")</f>
        <v>3.85014760171006</v>
      </c>
    </row>
    <row r="160" customFormat="false" ht="15" hidden="false" customHeight="true" outlineLevel="0" collapsed="false">
      <c r="A160" s="60" t="n">
        <v>65</v>
      </c>
      <c r="B160" s="60" t="n">
        <v>2</v>
      </c>
      <c r="C160" s="60" t="s">
        <v>246</v>
      </c>
      <c r="D160" s="60" t="s">
        <v>71</v>
      </c>
      <c r="E160" s="60" t="s">
        <v>245</v>
      </c>
      <c r="F160" s="61" t="n">
        <v>4.8</v>
      </c>
      <c r="G160" s="61" t="n">
        <v>4.8</v>
      </c>
      <c r="H160" s="60" t="n">
        <v>55</v>
      </c>
      <c r="I160" s="62" t="n">
        <f aca="false">IFERROR(F160*H160,"")</f>
        <v>264</v>
      </c>
      <c r="J160" s="60" t="n">
        <v>1.4</v>
      </c>
      <c r="K160" s="62" t="n">
        <f aca="false">IFERROR((F160-J160)*H160,"")</f>
        <v>187</v>
      </c>
      <c r="L160" s="63" t="n">
        <f aca="false">IFERROR(IF(F160&gt;0,LN(F160),""),"")</f>
        <v>1.56861591791385</v>
      </c>
      <c r="M160" s="63" t="n">
        <f aca="false">IFERROR(IF(H160&gt;0,LN(H160),""),"")</f>
        <v>4.00733318523247</v>
      </c>
    </row>
    <row r="161" customFormat="false" ht="15" hidden="false" customHeight="true" outlineLevel="0" collapsed="false">
      <c r="A161" s="60" t="n">
        <v>66</v>
      </c>
      <c r="B161" s="60" t="n">
        <v>3</v>
      </c>
      <c r="C161" s="60" t="s">
        <v>246</v>
      </c>
      <c r="D161" s="60" t="s">
        <v>71</v>
      </c>
      <c r="E161" s="60" t="s">
        <v>245</v>
      </c>
      <c r="F161" s="61" t="n">
        <v>4.32</v>
      </c>
      <c r="G161" s="61" t="n">
        <v>4.8</v>
      </c>
      <c r="H161" s="60" t="n">
        <v>40</v>
      </c>
      <c r="I161" s="62" t="n">
        <f aca="false">IFERROR(F161*H161,"")</f>
        <v>172.8</v>
      </c>
      <c r="J161" s="60" t="n">
        <v>1.4</v>
      </c>
      <c r="K161" s="62" t="n">
        <f aca="false">IFERROR((F161-J161)*H161,"")</f>
        <v>116.8</v>
      </c>
      <c r="L161" s="63" t="n">
        <f aca="false">IFERROR(IF(F161&gt;0,LN(F161),""),"")</f>
        <v>1.46325540225602</v>
      </c>
      <c r="M161" s="63" t="n">
        <f aca="false">IFERROR(IF(H161&gt;0,LN(H161),""),"")</f>
        <v>3.68887945411394</v>
      </c>
    </row>
    <row r="162" customFormat="false" ht="15" hidden="false" customHeight="true" outlineLevel="0" collapsed="false">
      <c r="A162" s="60" t="n">
        <v>67</v>
      </c>
      <c r="B162" s="60" t="n">
        <v>4</v>
      </c>
      <c r="C162" s="60" t="s">
        <v>246</v>
      </c>
      <c r="D162" s="60" t="s">
        <v>71</v>
      </c>
      <c r="E162" s="60" t="s">
        <v>245</v>
      </c>
      <c r="F162" s="61" t="n">
        <v>4.8</v>
      </c>
      <c r="G162" s="61" t="n">
        <v>4.8</v>
      </c>
      <c r="H162" s="60" t="n">
        <v>35</v>
      </c>
      <c r="I162" s="62" t="n">
        <f aca="false">IFERROR(F162*H162,"")</f>
        <v>168</v>
      </c>
      <c r="J162" s="60" t="n">
        <v>1.4</v>
      </c>
      <c r="K162" s="62" t="n">
        <f aca="false">IFERROR((F162-J162)*H162,"")</f>
        <v>119</v>
      </c>
      <c r="L162" s="63" t="n">
        <f aca="false">IFERROR(IF(F162&gt;0,LN(F162),""),"")</f>
        <v>1.56861591791385</v>
      </c>
      <c r="M162" s="63" t="n">
        <f aca="false">IFERROR(IF(H162&gt;0,LN(H162),""),"")</f>
        <v>3.55534806148941</v>
      </c>
    </row>
    <row r="163" customFormat="false" ht="15" hidden="false" customHeight="true" outlineLevel="0" collapsed="false">
      <c r="A163" s="60" t="n">
        <v>68</v>
      </c>
      <c r="B163" s="60" t="n">
        <v>5</v>
      </c>
      <c r="C163" s="60" t="s">
        <v>246</v>
      </c>
      <c r="D163" s="60" t="s">
        <v>71</v>
      </c>
      <c r="E163" s="60" t="s">
        <v>245</v>
      </c>
      <c r="F163" s="61" t="n">
        <v>4.32</v>
      </c>
      <c r="G163" s="61" t="n">
        <v>4.8</v>
      </c>
      <c r="H163" s="60" t="n">
        <v>41</v>
      </c>
      <c r="I163" s="62" t="n">
        <f aca="false">IFERROR(F163*H163,"")</f>
        <v>177.12</v>
      </c>
      <c r="J163" s="60" t="n">
        <v>1.4</v>
      </c>
      <c r="K163" s="62" t="n">
        <f aca="false">IFERROR((F163-J163)*H163,"")</f>
        <v>119.72</v>
      </c>
      <c r="L163" s="63" t="n">
        <f aca="false">IFERROR(IF(F163&gt;0,LN(F163),""),"")</f>
        <v>1.46325540225602</v>
      </c>
      <c r="M163" s="63" t="n">
        <f aca="false">IFERROR(IF(H163&gt;0,LN(H163),""),"")</f>
        <v>3.71357206670431</v>
      </c>
    </row>
    <row r="164" customFormat="false" ht="15" hidden="false" customHeight="true" outlineLevel="0" collapsed="false">
      <c r="A164" s="60" t="n">
        <v>69</v>
      </c>
      <c r="B164" s="60" t="n">
        <v>6</v>
      </c>
      <c r="C164" s="60" t="s">
        <v>246</v>
      </c>
      <c r="D164" s="60" t="s">
        <v>71</v>
      </c>
      <c r="E164" s="60" t="s">
        <v>245</v>
      </c>
      <c r="F164" s="61" t="n">
        <v>4.32</v>
      </c>
      <c r="G164" s="61" t="n">
        <v>4.8</v>
      </c>
      <c r="H164" s="60" t="n">
        <v>39</v>
      </c>
      <c r="I164" s="62" t="n">
        <f aca="false">IFERROR(F164*H164,"")</f>
        <v>168.48</v>
      </c>
      <c r="J164" s="60" t="n">
        <v>1.4</v>
      </c>
      <c r="K164" s="62" t="n">
        <f aca="false">IFERROR((F164-J164)*H164,"")</f>
        <v>113.88</v>
      </c>
      <c r="L164" s="63" t="n">
        <f aca="false">IFERROR(IF(F164&gt;0,LN(F164),""),"")</f>
        <v>1.46325540225602</v>
      </c>
      <c r="M164" s="63" t="n">
        <f aca="false">IFERROR(IF(H164&gt;0,LN(H164),""),"")</f>
        <v>3.66356164612965</v>
      </c>
    </row>
    <row r="165" customFormat="false" ht="15" hidden="false" customHeight="true" outlineLevel="0" collapsed="false">
      <c r="A165" s="60" t="n">
        <v>70</v>
      </c>
      <c r="B165" s="60" t="n">
        <v>7</v>
      </c>
      <c r="C165" s="60" t="s">
        <v>246</v>
      </c>
      <c r="D165" s="60" t="s">
        <v>71</v>
      </c>
      <c r="E165" s="60" t="s">
        <v>245</v>
      </c>
      <c r="F165" s="61" t="n">
        <v>4.56</v>
      </c>
      <c r="G165" s="61" t="n">
        <v>4.8</v>
      </c>
      <c r="H165" s="60" t="n">
        <v>41</v>
      </c>
      <c r="I165" s="62" t="n">
        <f aca="false">IFERROR(F165*H165,"")</f>
        <v>186.96</v>
      </c>
      <c r="J165" s="60" t="n">
        <v>1.4</v>
      </c>
      <c r="K165" s="62" t="n">
        <f aca="false">IFERROR((F165-J165)*H165,"")</f>
        <v>129.56</v>
      </c>
      <c r="L165" s="63" t="n">
        <f aca="false">IFERROR(IF(F165&gt;0,LN(F165),""),"")</f>
        <v>1.51732262352629</v>
      </c>
      <c r="M165" s="63" t="n">
        <f aca="false">IFERROR(IF(H165&gt;0,LN(H165),""),"")</f>
        <v>3.71357206670431</v>
      </c>
    </row>
    <row r="166" customFormat="false" ht="15" hidden="false" customHeight="true" outlineLevel="0" collapsed="false">
      <c r="A166" s="60" t="n">
        <v>71</v>
      </c>
      <c r="B166" s="60" t="n">
        <v>1</v>
      </c>
      <c r="C166" s="60" t="s">
        <v>246</v>
      </c>
      <c r="D166" s="60" t="s">
        <v>71</v>
      </c>
      <c r="E166" s="60" t="s">
        <v>245</v>
      </c>
      <c r="F166" s="61" t="n">
        <v>4.8</v>
      </c>
      <c r="G166" s="61" t="n">
        <v>4.8</v>
      </c>
      <c r="H166" s="60" t="n">
        <v>50</v>
      </c>
      <c r="I166" s="62" t="n">
        <f aca="false">IFERROR(F166*H166,"")</f>
        <v>240</v>
      </c>
      <c r="J166" s="60" t="n">
        <v>1.4</v>
      </c>
      <c r="K166" s="62" t="n">
        <f aca="false">IFERROR((F166-J166)*H166,"")</f>
        <v>170</v>
      </c>
      <c r="L166" s="63" t="n">
        <f aca="false">IFERROR(IF(F166&gt;0,LN(F166),""),"")</f>
        <v>1.56861591791385</v>
      </c>
      <c r="M166" s="63" t="n">
        <f aca="false">IFERROR(IF(H166&gt;0,LN(H166),""),"")</f>
        <v>3.91202300542815</v>
      </c>
    </row>
    <row r="167" customFormat="false" ht="15" hidden="false" customHeight="true" outlineLevel="0" collapsed="false">
      <c r="A167" s="60" t="n">
        <v>72</v>
      </c>
      <c r="B167" s="60" t="n">
        <v>2</v>
      </c>
      <c r="C167" s="60" t="s">
        <v>246</v>
      </c>
      <c r="D167" s="60" t="s">
        <v>71</v>
      </c>
      <c r="E167" s="60" t="s">
        <v>245</v>
      </c>
      <c r="F167" s="61" t="n">
        <v>4.8</v>
      </c>
      <c r="G167" s="61" t="n">
        <v>4.8</v>
      </c>
      <c r="H167" s="60" t="n">
        <v>32</v>
      </c>
      <c r="I167" s="62" t="n">
        <f aca="false">IFERROR(F167*H167,"")</f>
        <v>153.6</v>
      </c>
      <c r="J167" s="60" t="n">
        <v>1.4</v>
      </c>
      <c r="K167" s="62" t="n">
        <f aca="false">IFERROR((F167-J167)*H167,"")</f>
        <v>108.8</v>
      </c>
      <c r="L167" s="63" t="n">
        <f aca="false">IFERROR(IF(F167&gt;0,LN(F167),""),"")</f>
        <v>1.56861591791385</v>
      </c>
      <c r="M167" s="63" t="n">
        <f aca="false">IFERROR(IF(H167&gt;0,LN(H167),""),"")</f>
        <v>3.46573590279973</v>
      </c>
    </row>
    <row r="168" customFormat="false" ht="15" hidden="false" customHeight="true" outlineLevel="0" collapsed="false">
      <c r="A168" s="60" t="n">
        <v>73</v>
      </c>
      <c r="B168" s="60" t="n">
        <v>3</v>
      </c>
      <c r="C168" s="60" t="s">
        <v>246</v>
      </c>
      <c r="D168" s="60" t="s">
        <v>71</v>
      </c>
      <c r="E168" s="60" t="s">
        <v>245</v>
      </c>
      <c r="F168" s="61" t="n">
        <v>4.8</v>
      </c>
      <c r="G168" s="61" t="n">
        <v>4.8</v>
      </c>
      <c r="H168" s="60" t="n">
        <v>47</v>
      </c>
      <c r="I168" s="62" t="n">
        <f aca="false">IFERROR(F168*H168,"")</f>
        <v>225.6</v>
      </c>
      <c r="J168" s="60" t="n">
        <v>1.4</v>
      </c>
      <c r="K168" s="62" t="n">
        <f aca="false">IFERROR((F168-J168)*H168,"")</f>
        <v>159.8</v>
      </c>
      <c r="L168" s="63" t="n">
        <f aca="false">IFERROR(IF(F168&gt;0,LN(F168),""),"")</f>
        <v>1.56861591791385</v>
      </c>
      <c r="M168" s="63" t="n">
        <f aca="false">IFERROR(IF(H168&gt;0,LN(H168),""),"")</f>
        <v>3.85014760171006</v>
      </c>
    </row>
    <row r="169" customFormat="false" ht="15" hidden="false" customHeight="true" outlineLevel="0" collapsed="false">
      <c r="A169" s="60" t="n">
        <v>74</v>
      </c>
      <c r="B169" s="60" t="n">
        <v>4</v>
      </c>
      <c r="C169" s="60" t="s">
        <v>246</v>
      </c>
      <c r="D169" s="60" t="s">
        <v>71</v>
      </c>
      <c r="E169" s="60" t="s">
        <v>245</v>
      </c>
      <c r="F169" s="61" t="n">
        <v>5.28</v>
      </c>
      <c r="G169" s="61" t="n">
        <v>4.8</v>
      </c>
      <c r="H169" s="60" t="n">
        <v>44</v>
      </c>
      <c r="I169" s="62" t="n">
        <f aca="false">IFERROR(F169*H169,"")</f>
        <v>232.32</v>
      </c>
      <c r="J169" s="60" t="n">
        <v>1.4</v>
      </c>
      <c r="K169" s="62" t="n">
        <f aca="false">IFERROR((F169-J169)*H169,"")</f>
        <v>170.72</v>
      </c>
      <c r="L169" s="63" t="n">
        <f aca="false">IFERROR(IF(F169&gt;0,LN(F169),""),"")</f>
        <v>1.66392609771817</v>
      </c>
      <c r="M169" s="63" t="n">
        <f aca="false">IFERROR(IF(H169&gt;0,LN(H169),""),"")</f>
        <v>3.78418963391826</v>
      </c>
    </row>
    <row r="170" customFormat="false" ht="15" hidden="false" customHeight="true" outlineLevel="0" collapsed="false">
      <c r="A170" s="60" t="n">
        <v>75</v>
      </c>
      <c r="B170" s="60" t="n">
        <v>5</v>
      </c>
      <c r="C170" s="60" t="s">
        <v>246</v>
      </c>
      <c r="D170" s="60" t="s">
        <v>71</v>
      </c>
      <c r="E170" s="60" t="s">
        <v>245</v>
      </c>
      <c r="F170" s="61" t="n">
        <v>4.8</v>
      </c>
      <c r="G170" s="61" t="n">
        <v>4.8</v>
      </c>
      <c r="H170" s="60" t="n">
        <v>29</v>
      </c>
      <c r="I170" s="62" t="n">
        <f aca="false">IFERROR(F170*H170,"")</f>
        <v>139.2</v>
      </c>
      <c r="J170" s="60" t="n">
        <v>1.4</v>
      </c>
      <c r="K170" s="62" t="n">
        <f aca="false">IFERROR((F170-J170)*H170,"")</f>
        <v>98.6</v>
      </c>
      <c r="L170" s="63" t="n">
        <f aca="false">IFERROR(IF(F170&gt;0,LN(F170),""),"")</f>
        <v>1.56861591791385</v>
      </c>
      <c r="M170" s="63" t="n">
        <f aca="false">IFERROR(IF(H170&gt;0,LN(H170),""),"")</f>
        <v>3.36729582998647</v>
      </c>
    </row>
    <row r="171" customFormat="false" ht="15" hidden="false" customHeight="true" outlineLevel="0" collapsed="false">
      <c r="A171" s="60" t="n">
        <v>76</v>
      </c>
      <c r="B171" s="60" t="n">
        <v>6</v>
      </c>
      <c r="C171" s="60" t="s">
        <v>246</v>
      </c>
      <c r="D171" s="60" t="s">
        <v>71</v>
      </c>
      <c r="E171" s="60" t="s">
        <v>245</v>
      </c>
      <c r="F171" s="61" t="n">
        <v>5.28</v>
      </c>
      <c r="G171" s="61" t="n">
        <v>4.8</v>
      </c>
      <c r="H171" s="60" t="n">
        <v>26</v>
      </c>
      <c r="I171" s="62" t="n">
        <f aca="false">IFERROR(F171*H171,"")</f>
        <v>137.28</v>
      </c>
      <c r="J171" s="60" t="n">
        <v>1.4</v>
      </c>
      <c r="K171" s="62" t="n">
        <f aca="false">IFERROR((F171-J171)*H171,"")</f>
        <v>100.88</v>
      </c>
      <c r="L171" s="63" t="n">
        <f aca="false">IFERROR(IF(F171&gt;0,LN(F171),""),"")</f>
        <v>1.66392609771817</v>
      </c>
      <c r="M171" s="63" t="n">
        <f aca="false">IFERROR(IF(H171&gt;0,LN(H171),""),"")</f>
        <v>3.25809653802148</v>
      </c>
    </row>
    <row r="172" customFormat="false" ht="15" hidden="false" customHeight="true" outlineLevel="0" collapsed="false">
      <c r="A172" s="60" t="n">
        <v>77</v>
      </c>
      <c r="B172" s="60" t="n">
        <v>7</v>
      </c>
      <c r="C172" s="60" t="s">
        <v>246</v>
      </c>
      <c r="D172" s="60" t="s">
        <v>71</v>
      </c>
      <c r="E172" s="60" t="s">
        <v>245</v>
      </c>
      <c r="F172" s="61" t="n">
        <v>5.04</v>
      </c>
      <c r="G172" s="61" t="n">
        <v>4.8</v>
      </c>
      <c r="H172" s="60" t="n">
        <v>49</v>
      </c>
      <c r="I172" s="62" t="n">
        <f aca="false">IFERROR(F172*H172,"")</f>
        <v>246.96</v>
      </c>
      <c r="J172" s="60" t="n">
        <v>1.4</v>
      </c>
      <c r="K172" s="62" t="n">
        <f aca="false">IFERROR((F172-J172)*H172,"")</f>
        <v>178.36</v>
      </c>
      <c r="L172" s="63" t="n">
        <f aca="false">IFERROR(IF(F172&gt;0,LN(F172),""),"")</f>
        <v>1.61740608208328</v>
      </c>
      <c r="M172" s="63" t="n">
        <f aca="false">IFERROR(IF(H172&gt;0,LN(H172),""),"")</f>
        <v>3.89182029811063</v>
      </c>
    </row>
    <row r="173" customFormat="false" ht="15" hidden="false" customHeight="true" outlineLevel="0" collapsed="false">
      <c r="A173" s="60" t="n">
        <v>78</v>
      </c>
      <c r="B173" s="60" t="n">
        <v>1</v>
      </c>
      <c r="C173" s="60" t="s">
        <v>246</v>
      </c>
      <c r="D173" s="60" t="s">
        <v>71</v>
      </c>
      <c r="E173" s="60" t="s">
        <v>245</v>
      </c>
      <c r="F173" s="61" t="n">
        <v>4.8</v>
      </c>
      <c r="G173" s="61" t="n">
        <v>4.8</v>
      </c>
      <c r="H173" s="60" t="n">
        <v>41</v>
      </c>
      <c r="I173" s="62" t="n">
        <f aca="false">IFERROR(F173*H173,"")</f>
        <v>196.8</v>
      </c>
      <c r="J173" s="60" t="n">
        <v>1.4</v>
      </c>
      <c r="K173" s="62" t="n">
        <f aca="false">IFERROR((F173-J173)*H173,"")</f>
        <v>139.4</v>
      </c>
      <c r="L173" s="63" t="n">
        <f aca="false">IFERROR(IF(F173&gt;0,LN(F173),""),"")</f>
        <v>1.56861591791385</v>
      </c>
      <c r="M173" s="63" t="n">
        <f aca="false">IFERROR(IF(H173&gt;0,LN(H173),""),"")</f>
        <v>3.71357206670431</v>
      </c>
    </row>
    <row r="174" customFormat="false" ht="15" hidden="false" customHeight="true" outlineLevel="0" collapsed="false">
      <c r="A174" s="60" t="n">
        <v>79</v>
      </c>
      <c r="B174" s="60" t="n">
        <v>2</v>
      </c>
      <c r="C174" s="60" t="s">
        <v>246</v>
      </c>
      <c r="D174" s="60" t="s">
        <v>71</v>
      </c>
      <c r="E174" s="60" t="s">
        <v>245</v>
      </c>
      <c r="F174" s="61" t="n">
        <v>5.28</v>
      </c>
      <c r="G174" s="61" t="n">
        <v>4.8</v>
      </c>
      <c r="H174" s="60" t="n">
        <v>45</v>
      </c>
      <c r="I174" s="62" t="n">
        <f aca="false">IFERROR(F174*H174,"")</f>
        <v>237.6</v>
      </c>
      <c r="J174" s="60" t="n">
        <v>1.4</v>
      </c>
      <c r="K174" s="62" t="n">
        <f aca="false">IFERROR((F174-J174)*H174,"")</f>
        <v>174.6</v>
      </c>
      <c r="L174" s="63" t="n">
        <f aca="false">IFERROR(IF(F174&gt;0,LN(F174),""),"")</f>
        <v>1.66392609771817</v>
      </c>
      <c r="M174" s="63" t="n">
        <f aca="false">IFERROR(IF(H174&gt;0,LN(H174),""),"")</f>
        <v>3.80666248977032</v>
      </c>
    </row>
    <row r="175" customFormat="false" ht="15" hidden="false" customHeight="true" outlineLevel="0" collapsed="false">
      <c r="A175" s="60" t="n">
        <v>80</v>
      </c>
      <c r="B175" s="60" t="n">
        <v>3</v>
      </c>
      <c r="C175" s="60" t="s">
        <v>246</v>
      </c>
      <c r="D175" s="60" t="s">
        <v>71</v>
      </c>
      <c r="E175" s="60" t="s">
        <v>245</v>
      </c>
      <c r="F175" s="61" t="n">
        <v>4.8</v>
      </c>
      <c r="G175" s="61" t="n">
        <v>4.8</v>
      </c>
      <c r="H175" s="60" t="n">
        <v>48</v>
      </c>
      <c r="I175" s="62" t="n">
        <f aca="false">IFERROR(F175*H175,"")</f>
        <v>230.4</v>
      </c>
      <c r="J175" s="60" t="n">
        <v>1.4</v>
      </c>
      <c r="K175" s="62" t="n">
        <f aca="false">IFERROR((F175-J175)*H175,"")</f>
        <v>163.2</v>
      </c>
      <c r="L175" s="63" t="n">
        <f aca="false">IFERROR(IF(F175&gt;0,LN(F175),""),"")</f>
        <v>1.56861591791385</v>
      </c>
      <c r="M175" s="63" t="n">
        <f aca="false">IFERROR(IF(H175&gt;0,LN(H175),""),"")</f>
        <v>3.87120101090789</v>
      </c>
    </row>
    <row r="176" customFormat="false" ht="15" hidden="false" customHeight="true" outlineLevel="0" collapsed="false">
      <c r="A176" s="60" t="n">
        <v>81</v>
      </c>
      <c r="B176" s="60" t="n">
        <v>4</v>
      </c>
      <c r="C176" s="60" t="s">
        <v>246</v>
      </c>
      <c r="D176" s="60" t="s">
        <v>71</v>
      </c>
      <c r="E176" s="60" t="s">
        <v>245</v>
      </c>
      <c r="F176" s="61" t="n">
        <v>4.32</v>
      </c>
      <c r="G176" s="61" t="n">
        <v>4.8</v>
      </c>
      <c r="H176" s="60" t="n">
        <v>56</v>
      </c>
      <c r="I176" s="62" t="n">
        <f aca="false">IFERROR(F176*H176,"")</f>
        <v>241.92</v>
      </c>
      <c r="J176" s="60" t="n">
        <v>1.4</v>
      </c>
      <c r="K176" s="62" t="n">
        <f aca="false">IFERROR((F176-J176)*H176,"")</f>
        <v>163.52</v>
      </c>
      <c r="L176" s="63" t="n">
        <f aca="false">IFERROR(IF(F176&gt;0,LN(F176),""),"")</f>
        <v>1.46325540225602</v>
      </c>
      <c r="M176" s="63" t="n">
        <f aca="false">IFERROR(IF(H176&gt;0,LN(H176),""),"")</f>
        <v>4.02535169073515</v>
      </c>
    </row>
    <row r="177" customFormat="false" ht="15" hidden="false" customHeight="true" outlineLevel="0" collapsed="false">
      <c r="A177" s="60" t="n">
        <v>82</v>
      </c>
      <c r="B177" s="60" t="n">
        <v>5</v>
      </c>
      <c r="C177" s="60" t="s">
        <v>246</v>
      </c>
      <c r="D177" s="60" t="s">
        <v>71</v>
      </c>
      <c r="E177" s="60" t="s">
        <v>245</v>
      </c>
      <c r="F177" s="61" t="n">
        <v>4.56</v>
      </c>
      <c r="G177" s="61" t="n">
        <v>4.8</v>
      </c>
      <c r="H177" s="60" t="n">
        <v>37</v>
      </c>
      <c r="I177" s="62" t="n">
        <f aca="false">IFERROR(F177*H177,"")</f>
        <v>168.72</v>
      </c>
      <c r="J177" s="60" t="n">
        <v>1.4</v>
      </c>
      <c r="K177" s="62" t="n">
        <f aca="false">IFERROR((F177-J177)*H177,"")</f>
        <v>116.92</v>
      </c>
      <c r="L177" s="63" t="n">
        <f aca="false">IFERROR(IF(F177&gt;0,LN(F177),""),"")</f>
        <v>1.51732262352629</v>
      </c>
      <c r="M177" s="63" t="n">
        <f aca="false">IFERROR(IF(H177&gt;0,LN(H177),""),"")</f>
        <v>3.61091791264422</v>
      </c>
    </row>
    <row r="178" customFormat="false" ht="15" hidden="false" customHeight="true" outlineLevel="0" collapsed="false">
      <c r="A178" s="60" t="n">
        <v>83</v>
      </c>
      <c r="B178" s="60" t="n">
        <v>6</v>
      </c>
      <c r="C178" s="60" t="s">
        <v>246</v>
      </c>
      <c r="D178" s="60" t="s">
        <v>71</v>
      </c>
      <c r="E178" s="60" t="s">
        <v>245</v>
      </c>
      <c r="F178" s="61" t="n">
        <v>4.8</v>
      </c>
      <c r="G178" s="61" t="n">
        <v>4.8</v>
      </c>
      <c r="H178" s="60" t="n">
        <v>39</v>
      </c>
      <c r="I178" s="62" t="n">
        <f aca="false">IFERROR(F178*H178,"")</f>
        <v>187.2</v>
      </c>
      <c r="J178" s="60" t="n">
        <v>1.4</v>
      </c>
      <c r="K178" s="62" t="n">
        <f aca="false">IFERROR((F178-J178)*H178,"")</f>
        <v>132.6</v>
      </c>
      <c r="L178" s="63" t="n">
        <f aca="false">IFERROR(IF(F178&gt;0,LN(F178),""),"")</f>
        <v>1.56861591791385</v>
      </c>
      <c r="M178" s="63" t="n">
        <f aca="false">IFERROR(IF(H178&gt;0,LN(H178),""),"")</f>
        <v>3.66356164612965</v>
      </c>
    </row>
    <row r="179" customFormat="false" ht="15" hidden="false" customHeight="true" outlineLevel="0" collapsed="false">
      <c r="A179" s="60" t="n">
        <v>84</v>
      </c>
      <c r="B179" s="60" t="n">
        <v>7</v>
      </c>
      <c r="C179" s="60" t="s">
        <v>246</v>
      </c>
      <c r="D179" s="60" t="s">
        <v>71</v>
      </c>
      <c r="E179" s="60" t="s">
        <v>245</v>
      </c>
      <c r="F179" s="61" t="n">
        <v>4.8</v>
      </c>
      <c r="G179" s="61" t="n">
        <v>4.8</v>
      </c>
      <c r="H179" s="60" t="n">
        <v>44</v>
      </c>
      <c r="I179" s="62" t="n">
        <f aca="false">IFERROR(F179*H179,"")</f>
        <v>211.2</v>
      </c>
      <c r="J179" s="60" t="n">
        <v>1.4</v>
      </c>
      <c r="K179" s="62" t="n">
        <f aca="false">IFERROR((F179-J179)*H179,"")</f>
        <v>149.6</v>
      </c>
      <c r="L179" s="63" t="n">
        <f aca="false">IFERROR(IF(F179&gt;0,LN(F179),""),"")</f>
        <v>1.56861591791385</v>
      </c>
      <c r="M179" s="63" t="n">
        <f aca="false">IFERROR(IF(H179&gt;0,LN(H179),""),"")</f>
        <v>3.78418963391826</v>
      </c>
    </row>
    <row r="180" customFormat="false" ht="15" hidden="false" customHeight="true" outlineLevel="0" collapsed="false">
      <c r="A180" s="60" t="n">
        <v>85</v>
      </c>
      <c r="B180" s="60" t="n">
        <v>1</v>
      </c>
      <c r="C180" s="60" t="s">
        <v>246</v>
      </c>
      <c r="D180" s="60" t="s">
        <v>71</v>
      </c>
      <c r="E180" s="60" t="s">
        <v>245</v>
      </c>
      <c r="F180" s="61" t="n">
        <v>4.56</v>
      </c>
      <c r="G180" s="61" t="n">
        <v>4.8</v>
      </c>
      <c r="H180" s="60" t="n">
        <v>38</v>
      </c>
      <c r="I180" s="62" t="n">
        <f aca="false">IFERROR(F180*H180,"")</f>
        <v>173.28</v>
      </c>
      <c r="J180" s="60" t="n">
        <v>1.4</v>
      </c>
      <c r="K180" s="62" t="n">
        <f aca="false">IFERROR((F180-J180)*H180,"")</f>
        <v>120.08</v>
      </c>
      <c r="L180" s="63" t="n">
        <f aca="false">IFERROR(IF(F180&gt;0,LN(F180),""),"")</f>
        <v>1.51732262352629</v>
      </c>
      <c r="M180" s="63" t="n">
        <f aca="false">IFERROR(IF(H180&gt;0,LN(H180),""),"")</f>
        <v>3.63758615972639</v>
      </c>
    </row>
    <row r="181" customFormat="false" ht="15" hidden="false" customHeight="true" outlineLevel="0" collapsed="false">
      <c r="A181" s="60" t="n">
        <v>86</v>
      </c>
      <c r="B181" s="60" t="n">
        <v>2</v>
      </c>
      <c r="C181" s="60" t="s">
        <v>246</v>
      </c>
      <c r="D181" s="60" t="s">
        <v>71</v>
      </c>
      <c r="E181" s="60" t="s">
        <v>245</v>
      </c>
      <c r="F181" s="61" t="n">
        <v>5.04</v>
      </c>
      <c r="G181" s="61" t="n">
        <v>4.8</v>
      </c>
      <c r="H181" s="60" t="n">
        <v>28</v>
      </c>
      <c r="I181" s="62" t="n">
        <f aca="false">IFERROR(F181*H181,"")</f>
        <v>141.12</v>
      </c>
      <c r="J181" s="60" t="n">
        <v>1.4</v>
      </c>
      <c r="K181" s="62" t="n">
        <f aca="false">IFERROR((F181-J181)*H181,"")</f>
        <v>101.92</v>
      </c>
      <c r="L181" s="63" t="n">
        <f aca="false">IFERROR(IF(F181&gt;0,LN(F181),""),"")</f>
        <v>1.61740608208328</v>
      </c>
      <c r="M181" s="63" t="n">
        <f aca="false">IFERROR(IF(H181&gt;0,LN(H181),""),"")</f>
        <v>3.3322045101752</v>
      </c>
    </row>
    <row r="182" customFormat="false" ht="15" hidden="false" customHeight="true" outlineLevel="0" collapsed="false">
      <c r="A182" s="60" t="n">
        <v>87</v>
      </c>
      <c r="B182" s="60" t="n">
        <v>3</v>
      </c>
      <c r="C182" s="60" t="s">
        <v>246</v>
      </c>
      <c r="D182" s="60" t="s">
        <v>71</v>
      </c>
      <c r="E182" s="60" t="s">
        <v>245</v>
      </c>
      <c r="F182" s="61" t="n">
        <v>4.8</v>
      </c>
      <c r="G182" s="61" t="n">
        <v>4.8</v>
      </c>
      <c r="H182" s="60" t="n">
        <v>40</v>
      </c>
      <c r="I182" s="62" t="n">
        <f aca="false">IFERROR(F182*H182,"")</f>
        <v>192</v>
      </c>
      <c r="J182" s="60" t="n">
        <v>1.4</v>
      </c>
      <c r="K182" s="62" t="n">
        <f aca="false">IFERROR((F182-J182)*H182,"")</f>
        <v>136</v>
      </c>
      <c r="L182" s="63" t="n">
        <f aca="false">IFERROR(IF(F182&gt;0,LN(F182),""),"")</f>
        <v>1.56861591791385</v>
      </c>
      <c r="M182" s="63" t="n">
        <f aca="false">IFERROR(IF(H182&gt;0,LN(H182),""),"")</f>
        <v>3.68887945411394</v>
      </c>
    </row>
    <row r="183" customFormat="false" ht="15" hidden="false" customHeight="true" outlineLevel="0" collapsed="false">
      <c r="A183" s="60" t="n">
        <v>88</v>
      </c>
      <c r="B183" s="60" t="n">
        <v>4</v>
      </c>
      <c r="C183" s="60" t="s">
        <v>246</v>
      </c>
      <c r="D183" s="60" t="s">
        <v>71</v>
      </c>
      <c r="E183" s="60" t="s">
        <v>245</v>
      </c>
      <c r="F183" s="61" t="n">
        <v>4.32</v>
      </c>
      <c r="G183" s="61" t="n">
        <v>4.8</v>
      </c>
      <c r="H183" s="60" t="n">
        <v>64</v>
      </c>
      <c r="I183" s="62" t="n">
        <f aca="false">IFERROR(F183*H183,"")</f>
        <v>276.48</v>
      </c>
      <c r="J183" s="60" t="n">
        <v>1.4</v>
      </c>
      <c r="K183" s="62" t="n">
        <f aca="false">IFERROR((F183-J183)*H183,"")</f>
        <v>186.88</v>
      </c>
      <c r="L183" s="63" t="n">
        <f aca="false">IFERROR(IF(F183&gt;0,LN(F183),""),"")</f>
        <v>1.46325540225602</v>
      </c>
      <c r="M183" s="63" t="n">
        <f aca="false">IFERROR(IF(H183&gt;0,LN(H183),""),"")</f>
        <v>4.15888308335967</v>
      </c>
    </row>
    <row r="184" customFormat="false" ht="15" hidden="false" customHeight="true" outlineLevel="0" collapsed="false">
      <c r="A184" s="60" t="n">
        <v>89</v>
      </c>
      <c r="B184" s="60" t="n">
        <v>5</v>
      </c>
      <c r="C184" s="60" t="s">
        <v>246</v>
      </c>
      <c r="D184" s="60" t="s">
        <v>71</v>
      </c>
      <c r="E184" s="60" t="s">
        <v>245</v>
      </c>
      <c r="F184" s="61" t="n">
        <v>4.32</v>
      </c>
      <c r="G184" s="61" t="n">
        <v>4.8</v>
      </c>
      <c r="H184" s="60" t="n">
        <v>38</v>
      </c>
      <c r="I184" s="62" t="n">
        <f aca="false">IFERROR(F184*H184,"")</f>
        <v>164.16</v>
      </c>
      <c r="J184" s="60" t="n">
        <v>1.4</v>
      </c>
      <c r="K184" s="62" t="n">
        <f aca="false">IFERROR((F184-J184)*H184,"")</f>
        <v>110.96</v>
      </c>
      <c r="L184" s="63" t="n">
        <f aca="false">IFERROR(IF(F184&gt;0,LN(F184),""),"")</f>
        <v>1.46325540225602</v>
      </c>
      <c r="M184" s="63" t="n">
        <f aca="false">IFERROR(IF(H184&gt;0,LN(H184),""),"")</f>
        <v>3.63758615972639</v>
      </c>
    </row>
    <row r="185" customFormat="false" ht="15" hidden="false" customHeight="true" outlineLevel="0" collapsed="false">
      <c r="A185" s="60" t="n">
        <v>90</v>
      </c>
      <c r="B185" s="60" t="n">
        <v>6</v>
      </c>
      <c r="C185" s="60" t="s">
        <v>246</v>
      </c>
      <c r="D185" s="60" t="s">
        <v>71</v>
      </c>
      <c r="E185" s="60" t="s">
        <v>245</v>
      </c>
      <c r="F185" s="61" t="n">
        <v>4.32</v>
      </c>
      <c r="G185" s="61" t="n">
        <v>4.8</v>
      </c>
      <c r="H185" s="60" t="n">
        <v>38</v>
      </c>
      <c r="I185" s="62" t="n">
        <f aca="false">IFERROR(F185*H185,"")</f>
        <v>164.16</v>
      </c>
      <c r="J185" s="60" t="n">
        <v>1.4</v>
      </c>
      <c r="K185" s="62" t="n">
        <f aca="false">IFERROR((F185-J185)*H185,"")</f>
        <v>110.96</v>
      </c>
      <c r="L185" s="63" t="n">
        <f aca="false">IFERROR(IF(F185&gt;0,LN(F185),""),"")</f>
        <v>1.46325540225602</v>
      </c>
      <c r="M185" s="63" t="n">
        <f aca="false">IFERROR(IF(H185&gt;0,LN(H185),""),"")</f>
        <v>3.63758615972639</v>
      </c>
    </row>
    <row r="186" customFormat="false" ht="15" hidden="false" customHeight="true" outlineLevel="0" collapsed="false">
      <c r="A186" s="60" t="n">
        <v>1</v>
      </c>
      <c r="B186" s="60" t="n">
        <v>1</v>
      </c>
      <c r="C186" s="60" t="s">
        <v>247</v>
      </c>
      <c r="D186" s="60" t="s">
        <v>75</v>
      </c>
      <c r="E186" s="60" t="s">
        <v>245</v>
      </c>
      <c r="F186" s="61" t="n">
        <v>8.82</v>
      </c>
      <c r="G186" s="61" t="n">
        <v>9.8</v>
      </c>
      <c r="H186" s="60" t="n">
        <v>32</v>
      </c>
      <c r="I186" s="62" t="n">
        <f aca="false">IFERROR(F186*H186,"")</f>
        <v>282.24</v>
      </c>
      <c r="J186" s="60" t="n">
        <v>4.2</v>
      </c>
      <c r="K186" s="62" t="n">
        <f aca="false">IFERROR((F186-J186)*H186,"")</f>
        <v>147.84</v>
      </c>
      <c r="L186" s="63" t="n">
        <f aca="false">IFERROR(IF(F186&gt;0,LN(F186),""),"")</f>
        <v>2.1770218700187</v>
      </c>
      <c r="M186" s="63" t="n">
        <f aca="false">IFERROR(IF(H186&gt;0,LN(H186),""),"")</f>
        <v>3.46573590279973</v>
      </c>
    </row>
    <row r="187" customFormat="false" ht="15" hidden="false" customHeight="true" outlineLevel="0" collapsed="false">
      <c r="A187" s="60" t="n">
        <v>2</v>
      </c>
      <c r="B187" s="60" t="n">
        <v>2</v>
      </c>
      <c r="C187" s="60" t="s">
        <v>247</v>
      </c>
      <c r="D187" s="60" t="s">
        <v>75</v>
      </c>
      <c r="E187" s="60" t="s">
        <v>245</v>
      </c>
      <c r="F187" s="61" t="n">
        <v>9.8</v>
      </c>
      <c r="G187" s="61" t="n">
        <v>9.8</v>
      </c>
      <c r="H187" s="60" t="n">
        <v>32</v>
      </c>
      <c r="I187" s="62" t="n">
        <f aca="false">IFERROR(F187*H187,"")</f>
        <v>313.6</v>
      </c>
      <c r="J187" s="60" t="n">
        <v>4.2</v>
      </c>
      <c r="K187" s="62" t="n">
        <f aca="false">IFERROR((F187-J187)*H187,"")</f>
        <v>179.2</v>
      </c>
      <c r="L187" s="63" t="n">
        <f aca="false">IFERROR(IF(F187&gt;0,LN(F187),""),"")</f>
        <v>2.28238238567653</v>
      </c>
      <c r="M187" s="63" t="n">
        <f aca="false">IFERROR(IF(H187&gt;0,LN(H187),""),"")</f>
        <v>3.46573590279973</v>
      </c>
    </row>
    <row r="188" customFormat="false" ht="15" hidden="false" customHeight="true" outlineLevel="0" collapsed="false">
      <c r="A188" s="60" t="n">
        <v>3</v>
      </c>
      <c r="B188" s="60" t="n">
        <v>3</v>
      </c>
      <c r="C188" s="60" t="s">
        <v>247</v>
      </c>
      <c r="D188" s="60" t="s">
        <v>75</v>
      </c>
      <c r="E188" s="60" t="s">
        <v>245</v>
      </c>
      <c r="F188" s="61" t="n">
        <v>9.31</v>
      </c>
      <c r="G188" s="61" t="n">
        <v>9.8</v>
      </c>
      <c r="H188" s="60" t="n">
        <v>31</v>
      </c>
      <c r="I188" s="62" t="n">
        <f aca="false">IFERROR(F188*H188,"")</f>
        <v>288.61</v>
      </c>
      <c r="J188" s="60" t="n">
        <v>4.2</v>
      </c>
      <c r="K188" s="62" t="n">
        <f aca="false">IFERROR((F188-J188)*H188,"")</f>
        <v>158.41</v>
      </c>
      <c r="L188" s="63" t="n">
        <f aca="false">IFERROR(IF(F188&gt;0,LN(F188),""),"")</f>
        <v>2.23108909128898</v>
      </c>
      <c r="M188" s="63" t="n">
        <f aca="false">IFERROR(IF(H188&gt;0,LN(H188),""),"")</f>
        <v>3.43398720448515</v>
      </c>
    </row>
    <row r="189" customFormat="false" ht="15" hidden="false" customHeight="true" outlineLevel="0" collapsed="false">
      <c r="A189" s="60" t="n">
        <v>4</v>
      </c>
      <c r="B189" s="60" t="n">
        <v>4</v>
      </c>
      <c r="C189" s="60" t="s">
        <v>247</v>
      </c>
      <c r="D189" s="60" t="s">
        <v>75</v>
      </c>
      <c r="E189" s="60" t="s">
        <v>245</v>
      </c>
      <c r="F189" s="61" t="n">
        <v>9.8</v>
      </c>
      <c r="G189" s="61" t="n">
        <v>9.8</v>
      </c>
      <c r="H189" s="60" t="n">
        <v>25</v>
      </c>
      <c r="I189" s="62" t="n">
        <f aca="false">IFERROR(F189*H189,"")</f>
        <v>245</v>
      </c>
      <c r="J189" s="60" t="n">
        <v>4.2</v>
      </c>
      <c r="K189" s="62" t="n">
        <f aca="false">IFERROR((F189-J189)*H189,"")</f>
        <v>140</v>
      </c>
      <c r="L189" s="63" t="n">
        <f aca="false">IFERROR(IF(F189&gt;0,LN(F189),""),"")</f>
        <v>2.28238238567653</v>
      </c>
      <c r="M189" s="63" t="n">
        <f aca="false">IFERROR(IF(H189&gt;0,LN(H189),""),"")</f>
        <v>3.2188758248682</v>
      </c>
    </row>
    <row r="190" customFormat="false" ht="15" hidden="false" customHeight="true" outlineLevel="0" collapsed="false">
      <c r="A190" s="60" t="n">
        <v>5</v>
      </c>
      <c r="B190" s="60" t="n">
        <v>5</v>
      </c>
      <c r="C190" s="60" t="s">
        <v>247</v>
      </c>
      <c r="D190" s="60" t="s">
        <v>75</v>
      </c>
      <c r="E190" s="60" t="s">
        <v>245</v>
      </c>
      <c r="F190" s="61" t="n">
        <v>10.29</v>
      </c>
      <c r="G190" s="61" t="n">
        <v>9.8</v>
      </c>
      <c r="H190" s="60" t="n">
        <v>31</v>
      </c>
      <c r="I190" s="62" t="n">
        <f aca="false">IFERROR(F190*H190,"")</f>
        <v>318.99</v>
      </c>
      <c r="J190" s="60" t="n">
        <v>4.2</v>
      </c>
      <c r="K190" s="62" t="n">
        <f aca="false">IFERROR((F190-J190)*H190,"")</f>
        <v>188.79</v>
      </c>
      <c r="L190" s="63" t="n">
        <f aca="false">IFERROR(IF(F190&gt;0,LN(F190),""),"")</f>
        <v>2.33117254984596</v>
      </c>
      <c r="M190" s="63" t="n">
        <f aca="false">IFERROR(IF(H190&gt;0,LN(H190),""),"")</f>
        <v>3.43398720448515</v>
      </c>
    </row>
    <row r="191" customFormat="false" ht="15" hidden="false" customHeight="true" outlineLevel="0" collapsed="false">
      <c r="A191" s="60" t="n">
        <v>6</v>
      </c>
      <c r="B191" s="60" t="n">
        <v>6</v>
      </c>
      <c r="C191" s="60" t="s">
        <v>247</v>
      </c>
      <c r="D191" s="60" t="s">
        <v>75</v>
      </c>
      <c r="E191" s="60" t="s">
        <v>245</v>
      </c>
      <c r="F191" s="61" t="n">
        <v>10.78</v>
      </c>
      <c r="G191" s="61" t="n">
        <v>9.8</v>
      </c>
      <c r="H191" s="60" t="n">
        <v>28</v>
      </c>
      <c r="I191" s="62" t="n">
        <f aca="false">IFERROR(F191*H191,"")</f>
        <v>301.84</v>
      </c>
      <c r="J191" s="60" t="n">
        <v>4.2</v>
      </c>
      <c r="K191" s="62" t="n">
        <f aca="false">IFERROR((F191-J191)*H191,"")</f>
        <v>184.24</v>
      </c>
      <c r="L191" s="63" t="n">
        <f aca="false">IFERROR(IF(F191&gt;0,LN(F191),""),"")</f>
        <v>2.37769256548085</v>
      </c>
      <c r="M191" s="63" t="n">
        <f aca="false">IFERROR(IF(H191&gt;0,LN(H191),""),"")</f>
        <v>3.3322045101752</v>
      </c>
    </row>
    <row r="192" customFormat="false" ht="15" hidden="false" customHeight="true" outlineLevel="0" collapsed="false">
      <c r="A192" s="60" t="n">
        <v>7</v>
      </c>
      <c r="B192" s="60" t="n">
        <v>7</v>
      </c>
      <c r="C192" s="60" t="s">
        <v>247</v>
      </c>
      <c r="D192" s="60" t="s">
        <v>75</v>
      </c>
      <c r="E192" s="60" t="s">
        <v>245</v>
      </c>
      <c r="F192" s="61" t="n">
        <v>9.31</v>
      </c>
      <c r="G192" s="61" t="n">
        <v>9.8</v>
      </c>
      <c r="H192" s="60" t="n">
        <v>24</v>
      </c>
      <c r="I192" s="62" t="n">
        <f aca="false">IFERROR(F192*H192,"")</f>
        <v>223.44</v>
      </c>
      <c r="J192" s="60" t="n">
        <v>4.2</v>
      </c>
      <c r="K192" s="62" t="n">
        <f aca="false">IFERROR((F192-J192)*H192,"")</f>
        <v>122.64</v>
      </c>
      <c r="L192" s="63" t="n">
        <f aca="false">IFERROR(IF(F192&gt;0,LN(F192),""),"")</f>
        <v>2.23108909128898</v>
      </c>
      <c r="M192" s="63" t="n">
        <f aca="false">IFERROR(IF(H192&gt;0,LN(H192),""),"")</f>
        <v>3.17805383034795</v>
      </c>
    </row>
    <row r="193" customFormat="false" ht="15" hidden="false" customHeight="true" outlineLevel="0" collapsed="false">
      <c r="A193" s="60" t="n">
        <v>8</v>
      </c>
      <c r="B193" s="60" t="n">
        <v>1</v>
      </c>
      <c r="C193" s="60" t="s">
        <v>247</v>
      </c>
      <c r="D193" s="60" t="s">
        <v>75</v>
      </c>
      <c r="E193" s="60" t="s">
        <v>245</v>
      </c>
      <c r="F193" s="61" t="n">
        <v>10.29</v>
      </c>
      <c r="G193" s="61" t="n">
        <v>9.8</v>
      </c>
      <c r="H193" s="60" t="n">
        <v>27</v>
      </c>
      <c r="I193" s="62" t="n">
        <f aca="false">IFERROR(F193*H193,"")</f>
        <v>277.83</v>
      </c>
      <c r="J193" s="60" t="n">
        <v>4.2</v>
      </c>
      <c r="K193" s="62" t="n">
        <f aca="false">IFERROR((F193-J193)*H193,"")</f>
        <v>164.43</v>
      </c>
      <c r="L193" s="63" t="n">
        <f aca="false">IFERROR(IF(F193&gt;0,LN(F193),""),"")</f>
        <v>2.33117254984596</v>
      </c>
      <c r="M193" s="63" t="n">
        <f aca="false">IFERROR(IF(H193&gt;0,LN(H193),""),"")</f>
        <v>3.29583686600433</v>
      </c>
    </row>
    <row r="194" customFormat="false" ht="15" hidden="false" customHeight="true" outlineLevel="0" collapsed="false">
      <c r="A194" s="60" t="n">
        <v>9</v>
      </c>
      <c r="B194" s="60" t="n">
        <v>2</v>
      </c>
      <c r="C194" s="60" t="s">
        <v>247</v>
      </c>
      <c r="D194" s="60" t="s">
        <v>75</v>
      </c>
      <c r="E194" s="60" t="s">
        <v>245</v>
      </c>
      <c r="F194" s="61" t="n">
        <v>10.29</v>
      </c>
      <c r="G194" s="61" t="n">
        <v>9.8</v>
      </c>
      <c r="H194" s="60" t="n">
        <v>30</v>
      </c>
      <c r="I194" s="62" t="n">
        <f aca="false">IFERROR(F194*H194,"")</f>
        <v>308.7</v>
      </c>
      <c r="J194" s="60" t="n">
        <v>4.2</v>
      </c>
      <c r="K194" s="62" t="n">
        <f aca="false">IFERROR((F194-J194)*H194,"")</f>
        <v>182.7</v>
      </c>
      <c r="L194" s="63" t="n">
        <f aca="false">IFERROR(IF(F194&gt;0,LN(F194),""),"")</f>
        <v>2.33117254984596</v>
      </c>
      <c r="M194" s="63" t="n">
        <f aca="false">IFERROR(IF(H194&gt;0,LN(H194),""),"")</f>
        <v>3.40119738166216</v>
      </c>
    </row>
    <row r="195" customFormat="false" ht="15" hidden="false" customHeight="true" outlineLevel="0" collapsed="false">
      <c r="A195" s="60" t="n">
        <v>10</v>
      </c>
      <c r="B195" s="60" t="n">
        <v>3</v>
      </c>
      <c r="C195" s="60" t="s">
        <v>247</v>
      </c>
      <c r="D195" s="60" t="s">
        <v>75</v>
      </c>
      <c r="E195" s="60" t="s">
        <v>245</v>
      </c>
      <c r="F195" s="61" t="n">
        <v>9.8</v>
      </c>
      <c r="G195" s="61" t="n">
        <v>9.8</v>
      </c>
      <c r="H195" s="60" t="n">
        <v>32</v>
      </c>
      <c r="I195" s="62" t="n">
        <f aca="false">IFERROR(F195*H195,"")</f>
        <v>313.6</v>
      </c>
      <c r="J195" s="60" t="n">
        <v>4.2</v>
      </c>
      <c r="K195" s="62" t="n">
        <f aca="false">IFERROR((F195-J195)*H195,"")</f>
        <v>179.2</v>
      </c>
      <c r="L195" s="63" t="n">
        <f aca="false">IFERROR(IF(F195&gt;0,LN(F195),""),"")</f>
        <v>2.28238238567653</v>
      </c>
      <c r="M195" s="63" t="n">
        <f aca="false">IFERROR(IF(H195&gt;0,LN(H195),""),"")</f>
        <v>3.46573590279973</v>
      </c>
    </row>
    <row r="196" customFormat="false" ht="15" hidden="false" customHeight="true" outlineLevel="0" collapsed="false">
      <c r="A196" s="60" t="n">
        <v>11</v>
      </c>
      <c r="B196" s="60" t="n">
        <v>4</v>
      </c>
      <c r="C196" s="60" t="s">
        <v>247</v>
      </c>
      <c r="D196" s="60" t="s">
        <v>75</v>
      </c>
      <c r="E196" s="60" t="s">
        <v>245</v>
      </c>
      <c r="F196" s="61" t="n">
        <v>9.8</v>
      </c>
      <c r="G196" s="61" t="n">
        <v>9.8</v>
      </c>
      <c r="H196" s="60" t="n">
        <v>37</v>
      </c>
      <c r="I196" s="62" t="n">
        <f aca="false">IFERROR(F196*H196,"")</f>
        <v>362.6</v>
      </c>
      <c r="J196" s="60" t="n">
        <v>4.2</v>
      </c>
      <c r="K196" s="62" t="n">
        <f aca="false">IFERROR((F196-J196)*H196,"")</f>
        <v>207.2</v>
      </c>
      <c r="L196" s="63" t="n">
        <f aca="false">IFERROR(IF(F196&gt;0,LN(F196),""),"")</f>
        <v>2.28238238567653</v>
      </c>
      <c r="M196" s="63" t="n">
        <f aca="false">IFERROR(IF(H196&gt;0,LN(H196),""),"")</f>
        <v>3.61091791264422</v>
      </c>
    </row>
    <row r="197" customFormat="false" ht="15" hidden="false" customHeight="true" outlineLevel="0" collapsed="false">
      <c r="A197" s="60" t="n">
        <v>12</v>
      </c>
      <c r="B197" s="60" t="n">
        <v>5</v>
      </c>
      <c r="C197" s="60" t="s">
        <v>247</v>
      </c>
      <c r="D197" s="60" t="s">
        <v>75</v>
      </c>
      <c r="E197" s="60" t="s">
        <v>245</v>
      </c>
      <c r="F197" s="61" t="n">
        <v>8.82</v>
      </c>
      <c r="G197" s="61" t="n">
        <v>9.8</v>
      </c>
      <c r="H197" s="60" t="n">
        <v>28</v>
      </c>
      <c r="I197" s="62" t="n">
        <f aca="false">IFERROR(F197*H197,"")</f>
        <v>246.96</v>
      </c>
      <c r="J197" s="60" t="n">
        <v>4.2</v>
      </c>
      <c r="K197" s="62" t="n">
        <f aca="false">IFERROR((F197-J197)*H197,"")</f>
        <v>129.36</v>
      </c>
      <c r="L197" s="63" t="n">
        <f aca="false">IFERROR(IF(F197&gt;0,LN(F197),""),"")</f>
        <v>2.1770218700187</v>
      </c>
      <c r="M197" s="63" t="n">
        <f aca="false">IFERROR(IF(H197&gt;0,LN(H197),""),"")</f>
        <v>3.3322045101752</v>
      </c>
    </row>
    <row r="198" customFormat="false" ht="15" hidden="false" customHeight="true" outlineLevel="0" collapsed="false">
      <c r="A198" s="60" t="n">
        <v>13</v>
      </c>
      <c r="B198" s="60" t="n">
        <v>6</v>
      </c>
      <c r="C198" s="60" t="s">
        <v>247</v>
      </c>
      <c r="D198" s="60" t="s">
        <v>75</v>
      </c>
      <c r="E198" s="60" t="s">
        <v>245</v>
      </c>
      <c r="F198" s="61" t="n">
        <v>9.8</v>
      </c>
      <c r="G198" s="61" t="n">
        <v>9.8</v>
      </c>
      <c r="H198" s="60" t="n">
        <v>31</v>
      </c>
      <c r="I198" s="62" t="n">
        <f aca="false">IFERROR(F198*H198,"")</f>
        <v>303.8</v>
      </c>
      <c r="J198" s="60" t="n">
        <v>4.2</v>
      </c>
      <c r="K198" s="62" t="n">
        <f aca="false">IFERROR((F198-J198)*H198,"")</f>
        <v>173.6</v>
      </c>
      <c r="L198" s="63" t="n">
        <f aca="false">IFERROR(IF(F198&gt;0,LN(F198),""),"")</f>
        <v>2.28238238567653</v>
      </c>
      <c r="M198" s="63" t="n">
        <f aca="false">IFERROR(IF(H198&gt;0,LN(H198),""),"")</f>
        <v>3.43398720448515</v>
      </c>
    </row>
    <row r="199" customFormat="false" ht="15" hidden="false" customHeight="true" outlineLevel="0" collapsed="false">
      <c r="A199" s="60" t="n">
        <v>14</v>
      </c>
      <c r="B199" s="60" t="n">
        <v>7</v>
      </c>
      <c r="C199" s="60" t="s">
        <v>247</v>
      </c>
      <c r="D199" s="60" t="s">
        <v>75</v>
      </c>
      <c r="E199" s="60" t="s">
        <v>245</v>
      </c>
      <c r="F199" s="61" t="n">
        <v>8.82</v>
      </c>
      <c r="G199" s="61" t="n">
        <v>9.8</v>
      </c>
      <c r="H199" s="60" t="n">
        <v>37</v>
      </c>
      <c r="I199" s="62" t="n">
        <f aca="false">IFERROR(F199*H199,"")</f>
        <v>326.34</v>
      </c>
      <c r="J199" s="60" t="n">
        <v>4.2</v>
      </c>
      <c r="K199" s="62" t="n">
        <f aca="false">IFERROR((F199-J199)*H199,"")</f>
        <v>170.94</v>
      </c>
      <c r="L199" s="63" t="n">
        <f aca="false">IFERROR(IF(F199&gt;0,LN(F199),""),"")</f>
        <v>2.1770218700187</v>
      </c>
      <c r="M199" s="63" t="n">
        <f aca="false">IFERROR(IF(H199&gt;0,LN(H199),""),"")</f>
        <v>3.61091791264422</v>
      </c>
    </row>
    <row r="200" customFormat="false" ht="15" hidden="false" customHeight="true" outlineLevel="0" collapsed="false">
      <c r="A200" s="60" t="n">
        <v>15</v>
      </c>
      <c r="B200" s="60" t="n">
        <v>1</v>
      </c>
      <c r="C200" s="60" t="s">
        <v>247</v>
      </c>
      <c r="D200" s="60" t="s">
        <v>75</v>
      </c>
      <c r="E200" s="60" t="s">
        <v>245</v>
      </c>
      <c r="F200" s="61" t="n">
        <v>9.8</v>
      </c>
      <c r="G200" s="61" t="n">
        <v>9.8</v>
      </c>
      <c r="H200" s="60" t="n">
        <v>32</v>
      </c>
      <c r="I200" s="62" t="n">
        <f aca="false">IFERROR(F200*H200,"")</f>
        <v>313.6</v>
      </c>
      <c r="J200" s="60" t="n">
        <v>4.2</v>
      </c>
      <c r="K200" s="62" t="n">
        <f aca="false">IFERROR((F200-J200)*H200,"")</f>
        <v>179.2</v>
      </c>
      <c r="L200" s="63" t="n">
        <f aca="false">IFERROR(IF(F200&gt;0,LN(F200),""),"")</f>
        <v>2.28238238567653</v>
      </c>
      <c r="M200" s="63" t="n">
        <f aca="false">IFERROR(IF(H200&gt;0,LN(H200),""),"")</f>
        <v>3.46573590279973</v>
      </c>
    </row>
    <row r="201" customFormat="false" ht="15" hidden="false" customHeight="true" outlineLevel="0" collapsed="false">
      <c r="A201" s="60" t="n">
        <v>16</v>
      </c>
      <c r="B201" s="60" t="n">
        <v>2</v>
      </c>
      <c r="C201" s="60" t="s">
        <v>247</v>
      </c>
      <c r="D201" s="60" t="s">
        <v>75</v>
      </c>
      <c r="E201" s="60" t="s">
        <v>245</v>
      </c>
      <c r="F201" s="61" t="n">
        <v>9.8</v>
      </c>
      <c r="G201" s="61" t="n">
        <v>9.8</v>
      </c>
      <c r="H201" s="60" t="n">
        <v>22</v>
      </c>
      <c r="I201" s="62" t="n">
        <f aca="false">IFERROR(F201*H201,"")</f>
        <v>215.6</v>
      </c>
      <c r="J201" s="60" t="n">
        <v>4.2</v>
      </c>
      <c r="K201" s="62" t="n">
        <f aca="false">IFERROR((F201-J201)*H201,"")</f>
        <v>123.2</v>
      </c>
      <c r="L201" s="63" t="n">
        <f aca="false">IFERROR(IF(F201&gt;0,LN(F201),""),"")</f>
        <v>2.28238238567653</v>
      </c>
      <c r="M201" s="63" t="n">
        <f aca="false">IFERROR(IF(H201&gt;0,LN(H201),""),"")</f>
        <v>3.09104245335832</v>
      </c>
    </row>
    <row r="202" customFormat="false" ht="15" hidden="false" customHeight="true" outlineLevel="0" collapsed="false">
      <c r="A202" s="60" t="n">
        <v>17</v>
      </c>
      <c r="B202" s="60" t="n">
        <v>3</v>
      </c>
      <c r="C202" s="60" t="s">
        <v>247</v>
      </c>
      <c r="D202" s="60" t="s">
        <v>75</v>
      </c>
      <c r="E202" s="60" t="s">
        <v>245</v>
      </c>
      <c r="F202" s="61" t="n">
        <v>10.29</v>
      </c>
      <c r="G202" s="61" t="n">
        <v>9.8</v>
      </c>
      <c r="H202" s="60" t="n">
        <v>29</v>
      </c>
      <c r="I202" s="62" t="n">
        <f aca="false">IFERROR(F202*H202,"")</f>
        <v>298.41</v>
      </c>
      <c r="J202" s="60" t="n">
        <v>4.2</v>
      </c>
      <c r="K202" s="62" t="n">
        <f aca="false">IFERROR((F202-J202)*H202,"")</f>
        <v>176.61</v>
      </c>
      <c r="L202" s="63" t="n">
        <f aca="false">IFERROR(IF(F202&gt;0,LN(F202),""),"")</f>
        <v>2.33117254984596</v>
      </c>
      <c r="M202" s="63" t="n">
        <f aca="false">IFERROR(IF(H202&gt;0,LN(H202),""),"")</f>
        <v>3.36729582998647</v>
      </c>
    </row>
    <row r="203" customFormat="false" ht="15" hidden="false" customHeight="true" outlineLevel="0" collapsed="false">
      <c r="A203" s="60" t="n">
        <v>18</v>
      </c>
      <c r="B203" s="60" t="n">
        <v>4</v>
      </c>
      <c r="C203" s="60" t="s">
        <v>247</v>
      </c>
      <c r="D203" s="60" t="s">
        <v>75</v>
      </c>
      <c r="E203" s="60" t="s">
        <v>245</v>
      </c>
      <c r="F203" s="61" t="n">
        <v>9.31</v>
      </c>
      <c r="G203" s="61" t="n">
        <v>9.8</v>
      </c>
      <c r="H203" s="60" t="n">
        <v>22</v>
      </c>
      <c r="I203" s="62" t="n">
        <f aca="false">IFERROR(F203*H203,"")</f>
        <v>204.82</v>
      </c>
      <c r="J203" s="60" t="n">
        <v>4.2</v>
      </c>
      <c r="K203" s="62" t="n">
        <f aca="false">IFERROR((F203-J203)*H203,"")</f>
        <v>112.42</v>
      </c>
      <c r="L203" s="63" t="n">
        <f aca="false">IFERROR(IF(F203&gt;0,LN(F203),""),"")</f>
        <v>2.23108909128898</v>
      </c>
      <c r="M203" s="63" t="n">
        <f aca="false">IFERROR(IF(H203&gt;0,LN(H203),""),"")</f>
        <v>3.09104245335832</v>
      </c>
    </row>
    <row r="204" customFormat="false" ht="15" hidden="false" customHeight="true" outlineLevel="0" collapsed="false">
      <c r="A204" s="60" t="n">
        <v>19</v>
      </c>
      <c r="B204" s="60" t="n">
        <v>5</v>
      </c>
      <c r="C204" s="60" t="s">
        <v>247</v>
      </c>
      <c r="D204" s="60" t="s">
        <v>75</v>
      </c>
      <c r="E204" s="60" t="s">
        <v>245</v>
      </c>
      <c r="F204" s="61" t="n">
        <v>9.31</v>
      </c>
      <c r="G204" s="61" t="n">
        <v>9.8</v>
      </c>
      <c r="H204" s="60" t="n">
        <v>41</v>
      </c>
      <c r="I204" s="62" t="n">
        <f aca="false">IFERROR(F204*H204,"")</f>
        <v>381.71</v>
      </c>
      <c r="J204" s="60" t="n">
        <v>4.2</v>
      </c>
      <c r="K204" s="62" t="n">
        <f aca="false">IFERROR((F204-J204)*H204,"")</f>
        <v>209.51</v>
      </c>
      <c r="L204" s="63" t="n">
        <f aca="false">IFERROR(IF(F204&gt;0,LN(F204),""),"")</f>
        <v>2.23108909128898</v>
      </c>
      <c r="M204" s="63" t="n">
        <f aca="false">IFERROR(IF(H204&gt;0,LN(H204),""),"")</f>
        <v>3.71357206670431</v>
      </c>
    </row>
    <row r="205" customFormat="false" ht="15" hidden="false" customHeight="true" outlineLevel="0" collapsed="false">
      <c r="A205" s="60" t="n">
        <v>20</v>
      </c>
      <c r="B205" s="60" t="n">
        <v>6</v>
      </c>
      <c r="C205" s="60" t="s">
        <v>247</v>
      </c>
      <c r="D205" s="60" t="s">
        <v>75</v>
      </c>
      <c r="E205" s="60" t="s">
        <v>245</v>
      </c>
      <c r="F205" s="61" t="n">
        <v>9.8</v>
      </c>
      <c r="G205" s="61" t="n">
        <v>9.8</v>
      </c>
      <c r="H205" s="60" t="n">
        <v>29</v>
      </c>
      <c r="I205" s="62" t="n">
        <f aca="false">IFERROR(F205*H205,"")</f>
        <v>284.2</v>
      </c>
      <c r="J205" s="60" t="n">
        <v>4.2</v>
      </c>
      <c r="K205" s="62" t="n">
        <f aca="false">IFERROR((F205-J205)*H205,"")</f>
        <v>162.4</v>
      </c>
      <c r="L205" s="63" t="n">
        <f aca="false">IFERROR(IF(F205&gt;0,LN(F205),""),"")</f>
        <v>2.28238238567653</v>
      </c>
      <c r="M205" s="63" t="n">
        <f aca="false">IFERROR(IF(H205&gt;0,LN(H205),""),"")</f>
        <v>3.36729582998647</v>
      </c>
    </row>
    <row r="206" customFormat="false" ht="15" hidden="false" customHeight="true" outlineLevel="0" collapsed="false">
      <c r="A206" s="60" t="n">
        <v>21</v>
      </c>
      <c r="B206" s="60" t="n">
        <v>7</v>
      </c>
      <c r="C206" s="60" t="s">
        <v>247</v>
      </c>
      <c r="D206" s="60" t="s">
        <v>75</v>
      </c>
      <c r="E206" s="60" t="s">
        <v>245</v>
      </c>
      <c r="F206" s="61" t="n">
        <v>8.82</v>
      </c>
      <c r="G206" s="61" t="n">
        <v>9.8</v>
      </c>
      <c r="H206" s="60" t="n">
        <v>38</v>
      </c>
      <c r="I206" s="62" t="n">
        <f aca="false">IFERROR(F206*H206,"")</f>
        <v>335.16</v>
      </c>
      <c r="J206" s="60" t="n">
        <v>4.2</v>
      </c>
      <c r="K206" s="62" t="n">
        <f aca="false">IFERROR((F206-J206)*H206,"")</f>
        <v>175.56</v>
      </c>
      <c r="L206" s="63" t="n">
        <f aca="false">IFERROR(IF(F206&gt;0,LN(F206),""),"")</f>
        <v>2.1770218700187</v>
      </c>
      <c r="M206" s="63" t="n">
        <f aca="false">IFERROR(IF(H206&gt;0,LN(H206),""),"")</f>
        <v>3.63758615972639</v>
      </c>
    </row>
    <row r="207" customFormat="false" ht="15" hidden="false" customHeight="true" outlineLevel="0" collapsed="false">
      <c r="A207" s="60" t="n">
        <v>22</v>
      </c>
      <c r="B207" s="60" t="n">
        <v>1</v>
      </c>
      <c r="C207" s="60" t="s">
        <v>247</v>
      </c>
      <c r="D207" s="60" t="s">
        <v>75</v>
      </c>
      <c r="E207" s="60" t="s">
        <v>245</v>
      </c>
      <c r="F207" s="61" t="n">
        <v>9.8</v>
      </c>
      <c r="G207" s="61" t="n">
        <v>9.8</v>
      </c>
      <c r="H207" s="60" t="n">
        <v>41</v>
      </c>
      <c r="I207" s="62" t="n">
        <f aca="false">IFERROR(F207*H207,"")</f>
        <v>401.8</v>
      </c>
      <c r="J207" s="60" t="n">
        <v>4.2</v>
      </c>
      <c r="K207" s="62" t="n">
        <f aca="false">IFERROR((F207-J207)*H207,"")</f>
        <v>229.6</v>
      </c>
      <c r="L207" s="63" t="n">
        <f aca="false">IFERROR(IF(F207&gt;0,LN(F207),""),"")</f>
        <v>2.28238238567653</v>
      </c>
      <c r="M207" s="63" t="n">
        <f aca="false">IFERROR(IF(H207&gt;0,LN(H207),""),"")</f>
        <v>3.71357206670431</v>
      </c>
    </row>
    <row r="208" customFormat="false" ht="15" hidden="false" customHeight="true" outlineLevel="0" collapsed="false">
      <c r="A208" s="60" t="n">
        <v>23</v>
      </c>
      <c r="B208" s="60" t="n">
        <v>2</v>
      </c>
      <c r="C208" s="60" t="s">
        <v>247</v>
      </c>
      <c r="D208" s="60" t="s">
        <v>75</v>
      </c>
      <c r="E208" s="60" t="s">
        <v>245</v>
      </c>
      <c r="F208" s="61" t="n">
        <v>10.78</v>
      </c>
      <c r="G208" s="61" t="n">
        <v>9.8</v>
      </c>
      <c r="H208" s="60" t="n">
        <v>33</v>
      </c>
      <c r="I208" s="62" t="n">
        <f aca="false">IFERROR(F208*H208,"")</f>
        <v>355.74</v>
      </c>
      <c r="J208" s="60" t="n">
        <v>4.2</v>
      </c>
      <c r="K208" s="62" t="n">
        <f aca="false">IFERROR((F208-J208)*H208,"")</f>
        <v>217.14</v>
      </c>
      <c r="L208" s="63" t="n">
        <f aca="false">IFERROR(IF(F208&gt;0,LN(F208),""),"")</f>
        <v>2.37769256548085</v>
      </c>
      <c r="M208" s="63" t="n">
        <f aca="false">IFERROR(IF(H208&gt;0,LN(H208),""),"")</f>
        <v>3.49650756146648</v>
      </c>
    </row>
    <row r="209" customFormat="false" ht="15" hidden="false" customHeight="true" outlineLevel="0" collapsed="false">
      <c r="A209" s="60" t="n">
        <v>24</v>
      </c>
      <c r="B209" s="60" t="n">
        <v>3</v>
      </c>
      <c r="C209" s="60" t="s">
        <v>247</v>
      </c>
      <c r="D209" s="60" t="s">
        <v>75</v>
      </c>
      <c r="E209" s="60" t="s">
        <v>245</v>
      </c>
      <c r="F209" s="61" t="n">
        <v>9.8</v>
      </c>
      <c r="G209" s="61" t="n">
        <v>9.8</v>
      </c>
      <c r="H209" s="60" t="n">
        <v>24</v>
      </c>
      <c r="I209" s="62" t="n">
        <f aca="false">IFERROR(F209*H209,"")</f>
        <v>235.2</v>
      </c>
      <c r="J209" s="60" t="n">
        <v>4.2</v>
      </c>
      <c r="K209" s="62" t="n">
        <f aca="false">IFERROR((F209-J209)*H209,"")</f>
        <v>134.4</v>
      </c>
      <c r="L209" s="63" t="n">
        <f aca="false">IFERROR(IF(F209&gt;0,LN(F209),""),"")</f>
        <v>2.28238238567653</v>
      </c>
      <c r="M209" s="63" t="n">
        <f aca="false">IFERROR(IF(H209&gt;0,LN(H209),""),"")</f>
        <v>3.17805383034795</v>
      </c>
    </row>
    <row r="210" customFormat="false" ht="15" hidden="false" customHeight="true" outlineLevel="0" collapsed="false">
      <c r="A210" s="60" t="n">
        <v>25</v>
      </c>
      <c r="B210" s="60" t="n">
        <v>4</v>
      </c>
      <c r="C210" s="60" t="s">
        <v>247</v>
      </c>
      <c r="D210" s="60" t="s">
        <v>75</v>
      </c>
      <c r="E210" s="60" t="s">
        <v>245</v>
      </c>
      <c r="F210" s="61" t="n">
        <v>9.31</v>
      </c>
      <c r="G210" s="61" t="n">
        <v>9.8</v>
      </c>
      <c r="H210" s="60" t="n">
        <v>32</v>
      </c>
      <c r="I210" s="62" t="n">
        <f aca="false">IFERROR(F210*H210,"")</f>
        <v>297.92</v>
      </c>
      <c r="J210" s="60" t="n">
        <v>4.2</v>
      </c>
      <c r="K210" s="62" t="n">
        <f aca="false">IFERROR((F210-J210)*H210,"")</f>
        <v>163.52</v>
      </c>
      <c r="L210" s="63" t="n">
        <f aca="false">IFERROR(IF(F210&gt;0,LN(F210),""),"")</f>
        <v>2.23108909128898</v>
      </c>
      <c r="M210" s="63" t="n">
        <f aca="false">IFERROR(IF(H210&gt;0,LN(H210),""),"")</f>
        <v>3.46573590279973</v>
      </c>
    </row>
    <row r="211" customFormat="false" ht="15" hidden="false" customHeight="true" outlineLevel="0" collapsed="false">
      <c r="A211" s="60" t="n">
        <v>26</v>
      </c>
      <c r="B211" s="60" t="n">
        <v>5</v>
      </c>
      <c r="C211" s="60" t="s">
        <v>247</v>
      </c>
      <c r="D211" s="60" t="s">
        <v>75</v>
      </c>
      <c r="E211" s="60" t="s">
        <v>245</v>
      </c>
      <c r="F211" s="61" t="n">
        <v>8.82</v>
      </c>
      <c r="G211" s="61" t="n">
        <v>9.8</v>
      </c>
      <c r="H211" s="60" t="n">
        <v>31</v>
      </c>
      <c r="I211" s="62" t="n">
        <f aca="false">IFERROR(F211*H211,"")</f>
        <v>273.42</v>
      </c>
      <c r="J211" s="60" t="n">
        <v>4.2</v>
      </c>
      <c r="K211" s="62" t="n">
        <f aca="false">IFERROR((F211-J211)*H211,"")</f>
        <v>143.22</v>
      </c>
      <c r="L211" s="63" t="n">
        <f aca="false">IFERROR(IF(F211&gt;0,LN(F211),""),"")</f>
        <v>2.1770218700187</v>
      </c>
      <c r="M211" s="63" t="n">
        <f aca="false">IFERROR(IF(H211&gt;0,LN(H211),""),"")</f>
        <v>3.43398720448515</v>
      </c>
    </row>
    <row r="212" customFormat="false" ht="15" hidden="false" customHeight="true" outlineLevel="0" collapsed="false">
      <c r="A212" s="60" t="n">
        <v>27</v>
      </c>
      <c r="B212" s="60" t="n">
        <v>6</v>
      </c>
      <c r="C212" s="60" t="s">
        <v>247</v>
      </c>
      <c r="D212" s="60" t="s">
        <v>75</v>
      </c>
      <c r="E212" s="60" t="s">
        <v>245</v>
      </c>
      <c r="F212" s="61" t="n">
        <v>9.8</v>
      </c>
      <c r="G212" s="61" t="n">
        <v>9.8</v>
      </c>
      <c r="H212" s="60" t="n">
        <v>31</v>
      </c>
      <c r="I212" s="62" t="n">
        <f aca="false">IFERROR(F212*H212,"")</f>
        <v>303.8</v>
      </c>
      <c r="J212" s="60" t="n">
        <v>4.2</v>
      </c>
      <c r="K212" s="62" t="n">
        <f aca="false">IFERROR((F212-J212)*H212,"")</f>
        <v>173.6</v>
      </c>
      <c r="L212" s="63" t="n">
        <f aca="false">IFERROR(IF(F212&gt;0,LN(F212),""),"")</f>
        <v>2.28238238567653</v>
      </c>
      <c r="M212" s="63" t="n">
        <f aca="false">IFERROR(IF(H212&gt;0,LN(H212),""),"")</f>
        <v>3.43398720448515</v>
      </c>
    </row>
    <row r="213" customFormat="false" ht="15" hidden="false" customHeight="true" outlineLevel="0" collapsed="false">
      <c r="A213" s="60" t="n">
        <v>28</v>
      </c>
      <c r="B213" s="60" t="n">
        <v>7</v>
      </c>
      <c r="C213" s="60" t="s">
        <v>247</v>
      </c>
      <c r="D213" s="60" t="s">
        <v>75</v>
      </c>
      <c r="E213" s="60" t="s">
        <v>245</v>
      </c>
      <c r="F213" s="61" t="n">
        <v>9.8</v>
      </c>
      <c r="G213" s="61" t="n">
        <v>9.8</v>
      </c>
      <c r="H213" s="60" t="n">
        <v>39</v>
      </c>
      <c r="I213" s="62" t="n">
        <f aca="false">IFERROR(F213*H213,"")</f>
        <v>382.2</v>
      </c>
      <c r="J213" s="60" t="n">
        <v>4.2</v>
      </c>
      <c r="K213" s="62" t="n">
        <f aca="false">IFERROR((F213-J213)*H213,"")</f>
        <v>218.4</v>
      </c>
      <c r="L213" s="63" t="n">
        <f aca="false">IFERROR(IF(F213&gt;0,LN(F213),""),"")</f>
        <v>2.28238238567653</v>
      </c>
      <c r="M213" s="63" t="n">
        <f aca="false">IFERROR(IF(H213&gt;0,LN(H213),""),"")</f>
        <v>3.66356164612965</v>
      </c>
    </row>
    <row r="214" customFormat="false" ht="15" hidden="false" customHeight="true" outlineLevel="0" collapsed="false">
      <c r="A214" s="60" t="n">
        <v>29</v>
      </c>
      <c r="B214" s="60" t="n">
        <v>1</v>
      </c>
      <c r="C214" s="60" t="s">
        <v>247</v>
      </c>
      <c r="D214" s="60" t="s">
        <v>75</v>
      </c>
      <c r="E214" s="60" t="s">
        <v>245</v>
      </c>
      <c r="F214" s="61" t="n">
        <v>9.8</v>
      </c>
      <c r="G214" s="61" t="n">
        <v>9.8</v>
      </c>
      <c r="H214" s="60" t="n">
        <v>27</v>
      </c>
      <c r="I214" s="62" t="n">
        <f aca="false">IFERROR(F214*H214,"")</f>
        <v>264.6</v>
      </c>
      <c r="J214" s="60" t="n">
        <v>4.2</v>
      </c>
      <c r="K214" s="62" t="n">
        <f aca="false">IFERROR((F214-J214)*H214,"")</f>
        <v>151.2</v>
      </c>
      <c r="L214" s="63" t="n">
        <f aca="false">IFERROR(IF(F214&gt;0,LN(F214),""),"")</f>
        <v>2.28238238567653</v>
      </c>
      <c r="M214" s="63" t="n">
        <f aca="false">IFERROR(IF(H214&gt;0,LN(H214),""),"")</f>
        <v>3.29583686600433</v>
      </c>
    </row>
    <row r="215" customFormat="false" ht="15" hidden="false" customHeight="true" outlineLevel="0" collapsed="false">
      <c r="A215" s="60" t="n">
        <v>30</v>
      </c>
      <c r="B215" s="60" t="n">
        <v>2</v>
      </c>
      <c r="C215" s="60" t="s">
        <v>247</v>
      </c>
      <c r="D215" s="60" t="s">
        <v>75</v>
      </c>
      <c r="E215" s="60" t="s">
        <v>245</v>
      </c>
      <c r="F215" s="61" t="n">
        <v>9.31</v>
      </c>
      <c r="G215" s="61" t="n">
        <v>9.8</v>
      </c>
      <c r="H215" s="60" t="n">
        <v>40</v>
      </c>
      <c r="I215" s="62" t="n">
        <f aca="false">IFERROR(F215*H215,"")</f>
        <v>372.4</v>
      </c>
      <c r="J215" s="60" t="n">
        <v>4.2</v>
      </c>
      <c r="K215" s="62" t="n">
        <f aca="false">IFERROR((F215-J215)*H215,"")</f>
        <v>204.4</v>
      </c>
      <c r="L215" s="63" t="n">
        <f aca="false">IFERROR(IF(F215&gt;0,LN(F215),""),"")</f>
        <v>2.23108909128898</v>
      </c>
      <c r="M215" s="63" t="n">
        <f aca="false">IFERROR(IF(H215&gt;0,LN(H215),""),"")</f>
        <v>3.68887945411394</v>
      </c>
    </row>
    <row r="216" customFormat="false" ht="15" hidden="false" customHeight="true" outlineLevel="0" collapsed="false">
      <c r="A216" s="60" t="n">
        <v>31</v>
      </c>
      <c r="B216" s="60" t="n">
        <v>3</v>
      </c>
      <c r="C216" s="60" t="s">
        <v>247</v>
      </c>
      <c r="D216" s="60" t="s">
        <v>75</v>
      </c>
      <c r="E216" s="60" t="s">
        <v>245</v>
      </c>
      <c r="F216" s="61" t="n">
        <v>9.31</v>
      </c>
      <c r="G216" s="61" t="n">
        <v>9.8</v>
      </c>
      <c r="H216" s="60" t="n">
        <v>35</v>
      </c>
      <c r="I216" s="62" t="n">
        <f aca="false">IFERROR(F216*H216,"")</f>
        <v>325.85</v>
      </c>
      <c r="J216" s="60" t="n">
        <v>4.2</v>
      </c>
      <c r="K216" s="62" t="n">
        <f aca="false">IFERROR((F216-J216)*H216,"")</f>
        <v>178.85</v>
      </c>
      <c r="L216" s="63" t="n">
        <f aca="false">IFERROR(IF(F216&gt;0,LN(F216),""),"")</f>
        <v>2.23108909128898</v>
      </c>
      <c r="M216" s="63" t="n">
        <f aca="false">IFERROR(IF(H216&gt;0,LN(H216),""),"")</f>
        <v>3.55534806148941</v>
      </c>
    </row>
    <row r="217" customFormat="false" ht="15" hidden="false" customHeight="true" outlineLevel="0" collapsed="false">
      <c r="A217" s="60" t="n">
        <v>32</v>
      </c>
      <c r="B217" s="60" t="n">
        <v>4</v>
      </c>
      <c r="C217" s="60" t="s">
        <v>247</v>
      </c>
      <c r="D217" s="60" t="s">
        <v>75</v>
      </c>
      <c r="E217" s="60" t="s">
        <v>245</v>
      </c>
      <c r="F217" s="61" t="n">
        <v>9.8</v>
      </c>
      <c r="G217" s="61" t="n">
        <v>9.8</v>
      </c>
      <c r="H217" s="60" t="n">
        <v>30</v>
      </c>
      <c r="I217" s="62" t="n">
        <f aca="false">IFERROR(F217*H217,"")</f>
        <v>294</v>
      </c>
      <c r="J217" s="60" t="n">
        <v>4.2</v>
      </c>
      <c r="K217" s="62" t="n">
        <f aca="false">IFERROR((F217-J217)*H217,"")</f>
        <v>168</v>
      </c>
      <c r="L217" s="63" t="n">
        <f aca="false">IFERROR(IF(F217&gt;0,LN(F217),""),"")</f>
        <v>2.28238238567653</v>
      </c>
      <c r="M217" s="63" t="n">
        <f aca="false">IFERROR(IF(H217&gt;0,LN(H217),""),"")</f>
        <v>3.40119738166216</v>
      </c>
    </row>
    <row r="218" customFormat="false" ht="15" hidden="false" customHeight="true" outlineLevel="0" collapsed="false">
      <c r="A218" s="60" t="n">
        <v>33</v>
      </c>
      <c r="B218" s="60" t="n">
        <v>5</v>
      </c>
      <c r="C218" s="60" t="s">
        <v>247</v>
      </c>
      <c r="D218" s="60" t="s">
        <v>75</v>
      </c>
      <c r="E218" s="60" t="s">
        <v>245</v>
      </c>
      <c r="F218" s="61" t="n">
        <v>9.8</v>
      </c>
      <c r="G218" s="61" t="n">
        <v>9.8</v>
      </c>
      <c r="H218" s="60" t="n">
        <v>39</v>
      </c>
      <c r="I218" s="62" t="n">
        <f aca="false">IFERROR(F218*H218,"")</f>
        <v>382.2</v>
      </c>
      <c r="J218" s="60" t="n">
        <v>4.2</v>
      </c>
      <c r="K218" s="62" t="n">
        <f aca="false">IFERROR((F218-J218)*H218,"")</f>
        <v>218.4</v>
      </c>
      <c r="L218" s="63" t="n">
        <f aca="false">IFERROR(IF(F218&gt;0,LN(F218),""),"")</f>
        <v>2.28238238567653</v>
      </c>
      <c r="M218" s="63" t="n">
        <f aca="false">IFERROR(IF(H218&gt;0,LN(H218),""),"")</f>
        <v>3.66356164612965</v>
      </c>
    </row>
    <row r="219" customFormat="false" ht="15" hidden="false" customHeight="true" outlineLevel="0" collapsed="false">
      <c r="A219" s="60" t="n">
        <v>34</v>
      </c>
      <c r="B219" s="60" t="n">
        <v>6</v>
      </c>
      <c r="C219" s="60" t="s">
        <v>247</v>
      </c>
      <c r="D219" s="60" t="s">
        <v>75</v>
      </c>
      <c r="E219" s="60" t="s">
        <v>245</v>
      </c>
      <c r="F219" s="61" t="n">
        <v>9.8</v>
      </c>
      <c r="G219" s="61" t="n">
        <v>9.8</v>
      </c>
      <c r="H219" s="60" t="n">
        <v>22</v>
      </c>
      <c r="I219" s="62" t="n">
        <f aca="false">IFERROR(F219*H219,"")</f>
        <v>215.6</v>
      </c>
      <c r="J219" s="60" t="n">
        <v>4.2</v>
      </c>
      <c r="K219" s="62" t="n">
        <f aca="false">IFERROR((F219-J219)*H219,"")</f>
        <v>123.2</v>
      </c>
      <c r="L219" s="63" t="n">
        <f aca="false">IFERROR(IF(F219&gt;0,LN(F219),""),"")</f>
        <v>2.28238238567653</v>
      </c>
      <c r="M219" s="63" t="n">
        <f aca="false">IFERROR(IF(H219&gt;0,LN(H219),""),"")</f>
        <v>3.09104245335832</v>
      </c>
    </row>
    <row r="220" customFormat="false" ht="15" hidden="false" customHeight="true" outlineLevel="0" collapsed="false">
      <c r="A220" s="60" t="n">
        <v>35</v>
      </c>
      <c r="B220" s="60" t="n">
        <v>7</v>
      </c>
      <c r="C220" s="60" t="s">
        <v>247</v>
      </c>
      <c r="D220" s="60" t="s">
        <v>75</v>
      </c>
      <c r="E220" s="60" t="s">
        <v>245</v>
      </c>
      <c r="F220" s="61" t="n">
        <v>9.8</v>
      </c>
      <c r="G220" s="61" t="n">
        <v>9.8</v>
      </c>
      <c r="H220" s="60" t="n">
        <v>27</v>
      </c>
      <c r="I220" s="62" t="n">
        <f aca="false">IFERROR(F220*H220,"")</f>
        <v>264.6</v>
      </c>
      <c r="J220" s="60" t="n">
        <v>4.2</v>
      </c>
      <c r="K220" s="62" t="n">
        <f aca="false">IFERROR((F220-J220)*H220,"")</f>
        <v>151.2</v>
      </c>
      <c r="L220" s="63" t="n">
        <f aca="false">IFERROR(IF(F220&gt;0,LN(F220),""),"")</f>
        <v>2.28238238567653</v>
      </c>
      <c r="M220" s="63" t="n">
        <f aca="false">IFERROR(IF(H220&gt;0,LN(H220),""),"")</f>
        <v>3.29583686600433</v>
      </c>
    </row>
    <row r="221" customFormat="false" ht="15" hidden="false" customHeight="true" outlineLevel="0" collapsed="false">
      <c r="A221" s="60" t="n">
        <v>36</v>
      </c>
      <c r="B221" s="60" t="n">
        <v>1</v>
      </c>
      <c r="C221" s="60" t="s">
        <v>247</v>
      </c>
      <c r="D221" s="60" t="s">
        <v>75</v>
      </c>
      <c r="E221" s="60" t="s">
        <v>245</v>
      </c>
      <c r="F221" s="61" t="n">
        <v>10.29</v>
      </c>
      <c r="G221" s="61" t="n">
        <v>9.8</v>
      </c>
      <c r="H221" s="60" t="n">
        <v>26</v>
      </c>
      <c r="I221" s="62" t="n">
        <f aca="false">IFERROR(F221*H221,"")</f>
        <v>267.54</v>
      </c>
      <c r="J221" s="60" t="n">
        <v>4.2</v>
      </c>
      <c r="K221" s="62" t="n">
        <f aca="false">IFERROR((F221-J221)*H221,"")</f>
        <v>158.34</v>
      </c>
      <c r="L221" s="63" t="n">
        <f aca="false">IFERROR(IF(F221&gt;0,LN(F221),""),"")</f>
        <v>2.33117254984596</v>
      </c>
      <c r="M221" s="63" t="n">
        <f aca="false">IFERROR(IF(H221&gt;0,LN(H221),""),"")</f>
        <v>3.25809653802148</v>
      </c>
    </row>
    <row r="222" customFormat="false" ht="15" hidden="false" customHeight="true" outlineLevel="0" collapsed="false">
      <c r="A222" s="60" t="n">
        <v>37</v>
      </c>
      <c r="B222" s="60" t="n">
        <v>2</v>
      </c>
      <c r="C222" s="60" t="s">
        <v>247</v>
      </c>
      <c r="D222" s="60" t="s">
        <v>75</v>
      </c>
      <c r="E222" s="60" t="s">
        <v>245</v>
      </c>
      <c r="F222" s="61" t="n">
        <v>9.8</v>
      </c>
      <c r="G222" s="61" t="n">
        <v>9.8</v>
      </c>
      <c r="H222" s="60" t="n">
        <v>32</v>
      </c>
      <c r="I222" s="62" t="n">
        <f aca="false">IFERROR(F222*H222,"")</f>
        <v>313.6</v>
      </c>
      <c r="J222" s="60" t="n">
        <v>4.2</v>
      </c>
      <c r="K222" s="62" t="n">
        <f aca="false">IFERROR((F222-J222)*H222,"")</f>
        <v>179.2</v>
      </c>
      <c r="L222" s="63" t="n">
        <f aca="false">IFERROR(IF(F222&gt;0,LN(F222),""),"")</f>
        <v>2.28238238567653</v>
      </c>
      <c r="M222" s="63" t="n">
        <f aca="false">IFERROR(IF(H222&gt;0,LN(H222),""),"")</f>
        <v>3.46573590279973</v>
      </c>
    </row>
    <row r="223" customFormat="false" ht="15" hidden="false" customHeight="true" outlineLevel="0" collapsed="false">
      <c r="A223" s="60" t="n">
        <v>38</v>
      </c>
      <c r="B223" s="60" t="n">
        <v>3</v>
      </c>
      <c r="C223" s="60" t="s">
        <v>247</v>
      </c>
      <c r="D223" s="60" t="s">
        <v>75</v>
      </c>
      <c r="E223" s="60" t="s">
        <v>245</v>
      </c>
      <c r="F223" s="61" t="n">
        <v>9.8</v>
      </c>
      <c r="G223" s="61" t="n">
        <v>9.8</v>
      </c>
      <c r="H223" s="60" t="n">
        <v>29</v>
      </c>
      <c r="I223" s="62" t="n">
        <f aca="false">IFERROR(F223*H223,"")</f>
        <v>284.2</v>
      </c>
      <c r="J223" s="60" t="n">
        <v>4.2</v>
      </c>
      <c r="K223" s="62" t="n">
        <f aca="false">IFERROR((F223-J223)*H223,"")</f>
        <v>162.4</v>
      </c>
      <c r="L223" s="63" t="n">
        <f aca="false">IFERROR(IF(F223&gt;0,LN(F223),""),"")</f>
        <v>2.28238238567653</v>
      </c>
      <c r="M223" s="63" t="n">
        <f aca="false">IFERROR(IF(H223&gt;0,LN(H223),""),"")</f>
        <v>3.36729582998647</v>
      </c>
    </row>
    <row r="224" customFormat="false" ht="15" hidden="false" customHeight="true" outlineLevel="0" collapsed="false">
      <c r="A224" s="60" t="n">
        <v>39</v>
      </c>
      <c r="B224" s="60" t="n">
        <v>4</v>
      </c>
      <c r="C224" s="60" t="s">
        <v>247</v>
      </c>
      <c r="D224" s="60" t="s">
        <v>75</v>
      </c>
      <c r="E224" s="60" t="s">
        <v>245</v>
      </c>
      <c r="F224" s="61" t="n">
        <v>9.31</v>
      </c>
      <c r="G224" s="61" t="n">
        <v>9.8</v>
      </c>
      <c r="H224" s="60" t="n">
        <v>22</v>
      </c>
      <c r="I224" s="62" t="n">
        <f aca="false">IFERROR(F224*H224,"")</f>
        <v>204.82</v>
      </c>
      <c r="J224" s="60" t="n">
        <v>4.2</v>
      </c>
      <c r="K224" s="62" t="n">
        <f aca="false">IFERROR((F224-J224)*H224,"")</f>
        <v>112.42</v>
      </c>
      <c r="L224" s="63" t="n">
        <f aca="false">IFERROR(IF(F224&gt;0,LN(F224),""),"")</f>
        <v>2.23108909128898</v>
      </c>
      <c r="M224" s="63" t="n">
        <f aca="false">IFERROR(IF(H224&gt;0,LN(H224),""),"")</f>
        <v>3.09104245335832</v>
      </c>
    </row>
    <row r="225" customFormat="false" ht="15" hidden="false" customHeight="true" outlineLevel="0" collapsed="false">
      <c r="A225" s="60" t="n">
        <v>40</v>
      </c>
      <c r="B225" s="60" t="n">
        <v>5</v>
      </c>
      <c r="C225" s="60" t="s">
        <v>247</v>
      </c>
      <c r="D225" s="60" t="s">
        <v>75</v>
      </c>
      <c r="E225" s="60" t="s">
        <v>245</v>
      </c>
      <c r="F225" s="61" t="n">
        <v>8.82</v>
      </c>
      <c r="G225" s="61" t="n">
        <v>9.8</v>
      </c>
      <c r="H225" s="60" t="n">
        <v>27</v>
      </c>
      <c r="I225" s="62" t="n">
        <f aca="false">IFERROR(F225*H225,"")</f>
        <v>238.14</v>
      </c>
      <c r="J225" s="60" t="n">
        <v>4.2</v>
      </c>
      <c r="K225" s="62" t="n">
        <f aca="false">IFERROR((F225-J225)*H225,"")</f>
        <v>124.74</v>
      </c>
      <c r="L225" s="63" t="n">
        <f aca="false">IFERROR(IF(F225&gt;0,LN(F225),""),"")</f>
        <v>2.1770218700187</v>
      </c>
      <c r="M225" s="63" t="n">
        <f aca="false">IFERROR(IF(H225&gt;0,LN(H225),""),"")</f>
        <v>3.29583686600433</v>
      </c>
    </row>
    <row r="226" customFormat="false" ht="15" hidden="false" customHeight="true" outlineLevel="0" collapsed="false">
      <c r="A226" s="60" t="n">
        <v>41</v>
      </c>
      <c r="B226" s="60" t="n">
        <v>6</v>
      </c>
      <c r="C226" s="60" t="s">
        <v>247</v>
      </c>
      <c r="D226" s="60" t="s">
        <v>75</v>
      </c>
      <c r="E226" s="60" t="s">
        <v>245</v>
      </c>
      <c r="F226" s="61" t="n">
        <v>8.82</v>
      </c>
      <c r="G226" s="61" t="n">
        <v>9.8</v>
      </c>
      <c r="H226" s="60" t="n">
        <v>29</v>
      </c>
      <c r="I226" s="62" t="n">
        <f aca="false">IFERROR(F226*H226,"")</f>
        <v>255.78</v>
      </c>
      <c r="J226" s="60" t="n">
        <v>4.2</v>
      </c>
      <c r="K226" s="62" t="n">
        <f aca="false">IFERROR((F226-J226)*H226,"")</f>
        <v>133.98</v>
      </c>
      <c r="L226" s="63" t="n">
        <f aca="false">IFERROR(IF(F226&gt;0,LN(F226),""),"")</f>
        <v>2.1770218700187</v>
      </c>
      <c r="M226" s="63" t="n">
        <f aca="false">IFERROR(IF(H226&gt;0,LN(H226),""),"")</f>
        <v>3.36729582998647</v>
      </c>
    </row>
    <row r="227" customFormat="false" ht="15" hidden="false" customHeight="true" outlineLevel="0" collapsed="false">
      <c r="A227" s="60" t="n">
        <v>42</v>
      </c>
      <c r="B227" s="60" t="n">
        <v>7</v>
      </c>
      <c r="C227" s="60" t="s">
        <v>247</v>
      </c>
      <c r="D227" s="60" t="s">
        <v>75</v>
      </c>
      <c r="E227" s="60" t="s">
        <v>245</v>
      </c>
      <c r="F227" s="61" t="n">
        <v>9.8</v>
      </c>
      <c r="G227" s="61" t="n">
        <v>9.8</v>
      </c>
      <c r="H227" s="60" t="n">
        <v>28</v>
      </c>
      <c r="I227" s="62" t="n">
        <f aca="false">IFERROR(F227*H227,"")</f>
        <v>274.4</v>
      </c>
      <c r="J227" s="60" t="n">
        <v>4.2</v>
      </c>
      <c r="K227" s="62" t="n">
        <f aca="false">IFERROR((F227-J227)*H227,"")</f>
        <v>156.8</v>
      </c>
      <c r="L227" s="63" t="n">
        <f aca="false">IFERROR(IF(F227&gt;0,LN(F227),""),"")</f>
        <v>2.28238238567653</v>
      </c>
      <c r="M227" s="63" t="n">
        <f aca="false">IFERROR(IF(H227&gt;0,LN(H227),""),"")</f>
        <v>3.3322045101752</v>
      </c>
    </row>
    <row r="228" customFormat="false" ht="15" hidden="false" customHeight="true" outlineLevel="0" collapsed="false">
      <c r="A228" s="60" t="n">
        <v>43</v>
      </c>
      <c r="B228" s="60" t="n">
        <v>1</v>
      </c>
      <c r="C228" s="60" t="s">
        <v>247</v>
      </c>
      <c r="D228" s="60" t="s">
        <v>75</v>
      </c>
      <c r="E228" s="60" t="s">
        <v>245</v>
      </c>
      <c r="F228" s="61" t="n">
        <v>9.8</v>
      </c>
      <c r="G228" s="61" t="n">
        <v>9.8</v>
      </c>
      <c r="H228" s="60" t="n">
        <v>26</v>
      </c>
      <c r="I228" s="62" t="n">
        <f aca="false">IFERROR(F228*H228,"")</f>
        <v>254.8</v>
      </c>
      <c r="J228" s="60" t="n">
        <v>4.2</v>
      </c>
      <c r="K228" s="62" t="n">
        <f aca="false">IFERROR((F228-J228)*H228,"")</f>
        <v>145.6</v>
      </c>
      <c r="L228" s="63" t="n">
        <f aca="false">IFERROR(IF(F228&gt;0,LN(F228),""),"")</f>
        <v>2.28238238567653</v>
      </c>
      <c r="M228" s="63" t="n">
        <f aca="false">IFERROR(IF(H228&gt;0,LN(H228),""),"")</f>
        <v>3.25809653802148</v>
      </c>
    </row>
    <row r="229" customFormat="false" ht="15" hidden="false" customHeight="true" outlineLevel="0" collapsed="false">
      <c r="A229" s="60" t="n">
        <v>44</v>
      </c>
      <c r="B229" s="60" t="n">
        <v>2</v>
      </c>
      <c r="C229" s="60" t="s">
        <v>247</v>
      </c>
      <c r="D229" s="60" t="s">
        <v>75</v>
      </c>
      <c r="E229" s="60" t="s">
        <v>245</v>
      </c>
      <c r="F229" s="61" t="n">
        <v>9.8</v>
      </c>
      <c r="G229" s="61" t="n">
        <v>9.8</v>
      </c>
      <c r="H229" s="60" t="n">
        <v>27</v>
      </c>
      <c r="I229" s="62" t="n">
        <f aca="false">IFERROR(F229*H229,"")</f>
        <v>264.6</v>
      </c>
      <c r="J229" s="60" t="n">
        <v>4.2</v>
      </c>
      <c r="K229" s="62" t="n">
        <f aca="false">IFERROR((F229-J229)*H229,"")</f>
        <v>151.2</v>
      </c>
      <c r="L229" s="63" t="n">
        <f aca="false">IFERROR(IF(F229&gt;0,LN(F229),""),"")</f>
        <v>2.28238238567653</v>
      </c>
      <c r="M229" s="63" t="n">
        <f aca="false">IFERROR(IF(H229&gt;0,LN(H229),""),"")</f>
        <v>3.29583686600433</v>
      </c>
    </row>
    <row r="230" customFormat="false" ht="15" hidden="false" customHeight="true" outlineLevel="0" collapsed="false">
      <c r="A230" s="60" t="n">
        <v>45</v>
      </c>
      <c r="B230" s="60" t="n">
        <v>3</v>
      </c>
      <c r="C230" s="60" t="s">
        <v>247</v>
      </c>
      <c r="D230" s="60" t="s">
        <v>75</v>
      </c>
      <c r="E230" s="60" t="s">
        <v>245</v>
      </c>
      <c r="F230" s="61" t="n">
        <v>10.29</v>
      </c>
      <c r="G230" s="61" t="n">
        <v>9.8</v>
      </c>
      <c r="H230" s="60" t="n">
        <v>29</v>
      </c>
      <c r="I230" s="62" t="n">
        <f aca="false">IFERROR(F230*H230,"")</f>
        <v>298.41</v>
      </c>
      <c r="J230" s="60" t="n">
        <v>4.2</v>
      </c>
      <c r="K230" s="62" t="n">
        <f aca="false">IFERROR((F230-J230)*H230,"")</f>
        <v>176.61</v>
      </c>
      <c r="L230" s="63" t="n">
        <f aca="false">IFERROR(IF(F230&gt;0,LN(F230),""),"")</f>
        <v>2.33117254984596</v>
      </c>
      <c r="M230" s="63" t="n">
        <f aca="false">IFERROR(IF(H230&gt;0,LN(H230),""),"")</f>
        <v>3.36729582998647</v>
      </c>
    </row>
    <row r="231" customFormat="false" ht="15" hidden="false" customHeight="true" outlineLevel="0" collapsed="false">
      <c r="A231" s="60" t="n">
        <v>46</v>
      </c>
      <c r="B231" s="60" t="n">
        <v>4</v>
      </c>
      <c r="C231" s="60" t="s">
        <v>247</v>
      </c>
      <c r="D231" s="60" t="s">
        <v>75</v>
      </c>
      <c r="E231" s="60" t="s">
        <v>245</v>
      </c>
      <c r="F231" s="61" t="n">
        <v>9.8</v>
      </c>
      <c r="G231" s="61" t="n">
        <v>9.8</v>
      </c>
      <c r="H231" s="60" t="n">
        <v>31</v>
      </c>
      <c r="I231" s="62" t="n">
        <f aca="false">IFERROR(F231*H231,"")</f>
        <v>303.8</v>
      </c>
      <c r="J231" s="60" t="n">
        <v>4.2</v>
      </c>
      <c r="K231" s="62" t="n">
        <f aca="false">IFERROR((F231-J231)*H231,"")</f>
        <v>173.6</v>
      </c>
      <c r="L231" s="63" t="n">
        <f aca="false">IFERROR(IF(F231&gt;0,LN(F231),""),"")</f>
        <v>2.28238238567653</v>
      </c>
      <c r="M231" s="63" t="n">
        <f aca="false">IFERROR(IF(H231&gt;0,LN(H231),""),"")</f>
        <v>3.43398720448515</v>
      </c>
    </row>
    <row r="232" customFormat="false" ht="15" hidden="false" customHeight="true" outlineLevel="0" collapsed="false">
      <c r="A232" s="60" t="n">
        <v>47</v>
      </c>
      <c r="B232" s="60" t="n">
        <v>5</v>
      </c>
      <c r="C232" s="60" t="s">
        <v>247</v>
      </c>
      <c r="D232" s="60" t="s">
        <v>75</v>
      </c>
      <c r="E232" s="60" t="s">
        <v>245</v>
      </c>
      <c r="F232" s="61" t="n">
        <v>8.82</v>
      </c>
      <c r="G232" s="61" t="n">
        <v>9.8</v>
      </c>
      <c r="H232" s="60" t="n">
        <v>25</v>
      </c>
      <c r="I232" s="62" t="n">
        <f aca="false">IFERROR(F232*H232,"")</f>
        <v>220.5</v>
      </c>
      <c r="J232" s="60" t="n">
        <v>4.2</v>
      </c>
      <c r="K232" s="62" t="n">
        <f aca="false">IFERROR((F232-J232)*H232,"")</f>
        <v>115.5</v>
      </c>
      <c r="L232" s="63" t="n">
        <f aca="false">IFERROR(IF(F232&gt;0,LN(F232),""),"")</f>
        <v>2.1770218700187</v>
      </c>
      <c r="M232" s="63" t="n">
        <f aca="false">IFERROR(IF(H232&gt;0,LN(H232),""),"")</f>
        <v>3.2188758248682</v>
      </c>
    </row>
    <row r="233" customFormat="false" ht="15" hidden="false" customHeight="true" outlineLevel="0" collapsed="false">
      <c r="A233" s="60" t="n">
        <v>48</v>
      </c>
      <c r="B233" s="60" t="n">
        <v>6</v>
      </c>
      <c r="C233" s="60" t="s">
        <v>247</v>
      </c>
      <c r="D233" s="60" t="s">
        <v>75</v>
      </c>
      <c r="E233" s="60" t="s">
        <v>245</v>
      </c>
      <c r="F233" s="61" t="n">
        <v>10.78</v>
      </c>
      <c r="G233" s="61" t="n">
        <v>9.8</v>
      </c>
      <c r="H233" s="60" t="n">
        <v>27</v>
      </c>
      <c r="I233" s="62" t="n">
        <f aca="false">IFERROR(F233*H233,"")</f>
        <v>291.06</v>
      </c>
      <c r="J233" s="60" t="n">
        <v>4.2</v>
      </c>
      <c r="K233" s="62" t="n">
        <f aca="false">IFERROR((F233-J233)*H233,"")</f>
        <v>177.66</v>
      </c>
      <c r="L233" s="63" t="n">
        <f aca="false">IFERROR(IF(F233&gt;0,LN(F233),""),"")</f>
        <v>2.37769256548085</v>
      </c>
      <c r="M233" s="63" t="n">
        <f aca="false">IFERROR(IF(H233&gt;0,LN(H233),""),"")</f>
        <v>3.29583686600433</v>
      </c>
    </row>
    <row r="234" customFormat="false" ht="15" hidden="false" customHeight="true" outlineLevel="0" collapsed="false">
      <c r="A234" s="60" t="n">
        <v>49</v>
      </c>
      <c r="B234" s="60" t="n">
        <v>7</v>
      </c>
      <c r="C234" s="60" t="s">
        <v>247</v>
      </c>
      <c r="D234" s="60" t="s">
        <v>75</v>
      </c>
      <c r="E234" s="60" t="s">
        <v>245</v>
      </c>
      <c r="F234" s="61" t="n">
        <v>10.78</v>
      </c>
      <c r="G234" s="61" t="n">
        <v>9.8</v>
      </c>
      <c r="H234" s="60" t="n">
        <v>35</v>
      </c>
      <c r="I234" s="62" t="n">
        <f aca="false">IFERROR(F234*H234,"")</f>
        <v>377.3</v>
      </c>
      <c r="J234" s="60" t="n">
        <v>4.2</v>
      </c>
      <c r="K234" s="62" t="n">
        <f aca="false">IFERROR((F234-J234)*H234,"")</f>
        <v>230.3</v>
      </c>
      <c r="L234" s="63" t="n">
        <f aca="false">IFERROR(IF(F234&gt;0,LN(F234),""),"")</f>
        <v>2.37769256548085</v>
      </c>
      <c r="M234" s="63" t="n">
        <f aca="false">IFERROR(IF(H234&gt;0,LN(H234),""),"")</f>
        <v>3.55534806148941</v>
      </c>
    </row>
    <row r="235" customFormat="false" ht="15" hidden="false" customHeight="true" outlineLevel="0" collapsed="false">
      <c r="A235" s="60" t="n">
        <v>50</v>
      </c>
      <c r="B235" s="60" t="n">
        <v>1</v>
      </c>
      <c r="C235" s="60" t="s">
        <v>247</v>
      </c>
      <c r="D235" s="60" t="s">
        <v>75</v>
      </c>
      <c r="E235" s="60" t="s">
        <v>245</v>
      </c>
      <c r="F235" s="61" t="n">
        <v>9.31</v>
      </c>
      <c r="G235" s="61" t="n">
        <v>9.8</v>
      </c>
      <c r="H235" s="60" t="n">
        <v>29</v>
      </c>
      <c r="I235" s="62" t="n">
        <f aca="false">IFERROR(F235*H235,"")</f>
        <v>269.99</v>
      </c>
      <c r="J235" s="60" t="n">
        <v>4.2</v>
      </c>
      <c r="K235" s="62" t="n">
        <f aca="false">IFERROR((F235-J235)*H235,"")</f>
        <v>148.19</v>
      </c>
      <c r="L235" s="63" t="n">
        <f aca="false">IFERROR(IF(F235&gt;0,LN(F235),""),"")</f>
        <v>2.23108909128898</v>
      </c>
      <c r="M235" s="63" t="n">
        <f aca="false">IFERROR(IF(H235&gt;0,LN(H235),""),"")</f>
        <v>3.36729582998647</v>
      </c>
    </row>
    <row r="236" customFormat="false" ht="15" hidden="false" customHeight="true" outlineLevel="0" collapsed="false">
      <c r="A236" s="60" t="n">
        <v>51</v>
      </c>
      <c r="B236" s="60" t="n">
        <v>2</v>
      </c>
      <c r="C236" s="60" t="s">
        <v>247</v>
      </c>
      <c r="D236" s="60" t="s">
        <v>75</v>
      </c>
      <c r="E236" s="60" t="s">
        <v>245</v>
      </c>
      <c r="F236" s="61" t="n">
        <v>9.8</v>
      </c>
      <c r="G236" s="61" t="n">
        <v>9.8</v>
      </c>
      <c r="H236" s="60" t="n">
        <v>22</v>
      </c>
      <c r="I236" s="62" t="n">
        <f aca="false">IFERROR(F236*H236,"")</f>
        <v>215.6</v>
      </c>
      <c r="J236" s="60" t="n">
        <v>4.2</v>
      </c>
      <c r="K236" s="62" t="n">
        <f aca="false">IFERROR((F236-J236)*H236,"")</f>
        <v>123.2</v>
      </c>
      <c r="L236" s="63" t="n">
        <f aca="false">IFERROR(IF(F236&gt;0,LN(F236),""),"")</f>
        <v>2.28238238567653</v>
      </c>
      <c r="M236" s="63" t="n">
        <f aca="false">IFERROR(IF(H236&gt;0,LN(H236),""),"")</f>
        <v>3.09104245335832</v>
      </c>
    </row>
    <row r="237" customFormat="false" ht="15" hidden="false" customHeight="true" outlineLevel="0" collapsed="false">
      <c r="A237" s="60" t="n">
        <v>52</v>
      </c>
      <c r="B237" s="60" t="n">
        <v>3</v>
      </c>
      <c r="C237" s="60" t="s">
        <v>247</v>
      </c>
      <c r="D237" s="60" t="s">
        <v>75</v>
      </c>
      <c r="E237" s="60" t="s">
        <v>245</v>
      </c>
      <c r="F237" s="61" t="n">
        <v>9.8</v>
      </c>
      <c r="G237" s="61" t="n">
        <v>9.8</v>
      </c>
      <c r="H237" s="60" t="n">
        <v>35</v>
      </c>
      <c r="I237" s="62" t="n">
        <f aca="false">IFERROR(F237*H237,"")</f>
        <v>343</v>
      </c>
      <c r="J237" s="60" t="n">
        <v>4.2</v>
      </c>
      <c r="K237" s="62" t="n">
        <f aca="false">IFERROR((F237-J237)*H237,"")</f>
        <v>196</v>
      </c>
      <c r="L237" s="63" t="n">
        <f aca="false">IFERROR(IF(F237&gt;0,LN(F237),""),"")</f>
        <v>2.28238238567653</v>
      </c>
      <c r="M237" s="63" t="n">
        <f aca="false">IFERROR(IF(H237&gt;0,LN(H237),""),"")</f>
        <v>3.55534806148941</v>
      </c>
    </row>
    <row r="238" customFormat="false" ht="15" hidden="false" customHeight="true" outlineLevel="0" collapsed="false">
      <c r="A238" s="60" t="n">
        <v>53</v>
      </c>
      <c r="B238" s="60" t="n">
        <v>4</v>
      </c>
      <c r="C238" s="60" t="s">
        <v>247</v>
      </c>
      <c r="D238" s="60" t="s">
        <v>75</v>
      </c>
      <c r="E238" s="60" t="s">
        <v>245</v>
      </c>
      <c r="F238" s="61" t="n">
        <v>10.29</v>
      </c>
      <c r="G238" s="61" t="n">
        <v>9.8</v>
      </c>
      <c r="H238" s="60" t="n">
        <v>26</v>
      </c>
      <c r="I238" s="62" t="n">
        <f aca="false">IFERROR(F238*H238,"")</f>
        <v>267.54</v>
      </c>
      <c r="J238" s="60" t="n">
        <v>4.2</v>
      </c>
      <c r="K238" s="62" t="n">
        <f aca="false">IFERROR((F238-J238)*H238,"")</f>
        <v>158.34</v>
      </c>
      <c r="L238" s="63" t="n">
        <f aca="false">IFERROR(IF(F238&gt;0,LN(F238),""),"")</f>
        <v>2.33117254984596</v>
      </c>
      <c r="M238" s="63" t="n">
        <f aca="false">IFERROR(IF(H238&gt;0,LN(H238),""),"")</f>
        <v>3.25809653802148</v>
      </c>
    </row>
    <row r="239" customFormat="false" ht="15" hidden="false" customHeight="true" outlineLevel="0" collapsed="false">
      <c r="A239" s="60" t="n">
        <v>54</v>
      </c>
      <c r="B239" s="60" t="n">
        <v>5</v>
      </c>
      <c r="C239" s="60" t="s">
        <v>247</v>
      </c>
      <c r="D239" s="60" t="s">
        <v>75</v>
      </c>
      <c r="E239" s="60" t="s">
        <v>245</v>
      </c>
      <c r="F239" s="61" t="n">
        <v>10.78</v>
      </c>
      <c r="G239" s="61" t="n">
        <v>9.8</v>
      </c>
      <c r="H239" s="60" t="n">
        <v>36</v>
      </c>
      <c r="I239" s="62" t="n">
        <f aca="false">IFERROR(F239*H239,"")</f>
        <v>388.08</v>
      </c>
      <c r="J239" s="60" t="n">
        <v>4.2</v>
      </c>
      <c r="K239" s="62" t="n">
        <f aca="false">IFERROR((F239-J239)*H239,"")</f>
        <v>236.88</v>
      </c>
      <c r="L239" s="63" t="n">
        <f aca="false">IFERROR(IF(F239&gt;0,LN(F239),""),"")</f>
        <v>2.37769256548085</v>
      </c>
      <c r="M239" s="63" t="n">
        <f aca="false">IFERROR(IF(H239&gt;0,LN(H239),""),"")</f>
        <v>3.58351893845611</v>
      </c>
    </row>
    <row r="240" customFormat="false" ht="15" hidden="false" customHeight="true" outlineLevel="0" collapsed="false">
      <c r="A240" s="60" t="n">
        <v>55</v>
      </c>
      <c r="B240" s="60" t="n">
        <v>6</v>
      </c>
      <c r="C240" s="60" t="s">
        <v>247</v>
      </c>
      <c r="D240" s="60" t="s">
        <v>75</v>
      </c>
      <c r="E240" s="60" t="s">
        <v>245</v>
      </c>
      <c r="F240" s="61" t="n">
        <v>9.8</v>
      </c>
      <c r="G240" s="61" t="n">
        <v>9.8</v>
      </c>
      <c r="H240" s="60" t="n">
        <v>24</v>
      </c>
      <c r="I240" s="62" t="n">
        <f aca="false">IFERROR(F240*H240,"")</f>
        <v>235.2</v>
      </c>
      <c r="J240" s="60" t="n">
        <v>4.2</v>
      </c>
      <c r="K240" s="62" t="n">
        <f aca="false">IFERROR((F240-J240)*H240,"")</f>
        <v>134.4</v>
      </c>
      <c r="L240" s="63" t="n">
        <f aca="false">IFERROR(IF(F240&gt;0,LN(F240),""),"")</f>
        <v>2.28238238567653</v>
      </c>
      <c r="M240" s="63" t="n">
        <f aca="false">IFERROR(IF(H240&gt;0,LN(H240),""),"")</f>
        <v>3.17805383034795</v>
      </c>
    </row>
    <row r="241" customFormat="false" ht="15" hidden="false" customHeight="true" outlineLevel="0" collapsed="false">
      <c r="A241" s="60" t="n">
        <v>56</v>
      </c>
      <c r="B241" s="60" t="n">
        <v>7</v>
      </c>
      <c r="C241" s="60" t="s">
        <v>247</v>
      </c>
      <c r="D241" s="60" t="s">
        <v>75</v>
      </c>
      <c r="E241" s="60" t="s">
        <v>245</v>
      </c>
      <c r="F241" s="61" t="n">
        <v>9.8</v>
      </c>
      <c r="G241" s="61" t="n">
        <v>9.8</v>
      </c>
      <c r="H241" s="60" t="n">
        <v>30</v>
      </c>
      <c r="I241" s="62" t="n">
        <f aca="false">IFERROR(F241*H241,"")</f>
        <v>294</v>
      </c>
      <c r="J241" s="60" t="n">
        <v>4.2</v>
      </c>
      <c r="K241" s="62" t="n">
        <f aca="false">IFERROR((F241-J241)*H241,"")</f>
        <v>168</v>
      </c>
      <c r="L241" s="63" t="n">
        <f aca="false">IFERROR(IF(F241&gt;0,LN(F241),""),"")</f>
        <v>2.28238238567653</v>
      </c>
      <c r="M241" s="63" t="n">
        <f aca="false">IFERROR(IF(H241&gt;0,LN(H241),""),"")</f>
        <v>3.40119738166216</v>
      </c>
    </row>
    <row r="242" customFormat="false" ht="15" hidden="false" customHeight="true" outlineLevel="0" collapsed="false">
      <c r="A242" s="60" t="n">
        <v>57</v>
      </c>
      <c r="B242" s="60" t="n">
        <v>1</v>
      </c>
      <c r="C242" s="60" t="s">
        <v>247</v>
      </c>
      <c r="D242" s="60" t="s">
        <v>75</v>
      </c>
      <c r="E242" s="60" t="s">
        <v>245</v>
      </c>
      <c r="F242" s="61" t="n">
        <v>9.8</v>
      </c>
      <c r="G242" s="61" t="n">
        <v>9.8</v>
      </c>
      <c r="H242" s="60" t="n">
        <v>28</v>
      </c>
      <c r="I242" s="62" t="n">
        <f aca="false">IFERROR(F242*H242,"")</f>
        <v>274.4</v>
      </c>
      <c r="J242" s="60" t="n">
        <v>4.2</v>
      </c>
      <c r="K242" s="62" t="n">
        <f aca="false">IFERROR((F242-J242)*H242,"")</f>
        <v>156.8</v>
      </c>
      <c r="L242" s="63" t="n">
        <f aca="false">IFERROR(IF(F242&gt;0,LN(F242),""),"")</f>
        <v>2.28238238567653</v>
      </c>
      <c r="M242" s="63" t="n">
        <f aca="false">IFERROR(IF(H242&gt;0,LN(H242),""),"")</f>
        <v>3.3322045101752</v>
      </c>
    </row>
    <row r="243" customFormat="false" ht="15" hidden="false" customHeight="true" outlineLevel="0" collapsed="false">
      <c r="A243" s="60" t="n">
        <v>58</v>
      </c>
      <c r="B243" s="60" t="n">
        <v>2</v>
      </c>
      <c r="C243" s="60" t="s">
        <v>247</v>
      </c>
      <c r="D243" s="60" t="s">
        <v>75</v>
      </c>
      <c r="E243" s="60" t="s">
        <v>245</v>
      </c>
      <c r="F243" s="61" t="n">
        <v>9.31</v>
      </c>
      <c r="G243" s="61" t="n">
        <v>9.8</v>
      </c>
      <c r="H243" s="60" t="n">
        <v>26</v>
      </c>
      <c r="I243" s="62" t="n">
        <f aca="false">IFERROR(F243*H243,"")</f>
        <v>242.06</v>
      </c>
      <c r="J243" s="60" t="n">
        <v>4.2</v>
      </c>
      <c r="K243" s="62" t="n">
        <f aca="false">IFERROR((F243-J243)*H243,"")</f>
        <v>132.86</v>
      </c>
      <c r="L243" s="63" t="n">
        <f aca="false">IFERROR(IF(F243&gt;0,LN(F243),""),"")</f>
        <v>2.23108909128898</v>
      </c>
      <c r="M243" s="63" t="n">
        <f aca="false">IFERROR(IF(H243&gt;0,LN(H243),""),"")</f>
        <v>3.25809653802148</v>
      </c>
    </row>
    <row r="244" customFormat="false" ht="15" hidden="false" customHeight="true" outlineLevel="0" collapsed="false">
      <c r="A244" s="60" t="n">
        <v>59</v>
      </c>
      <c r="B244" s="60" t="n">
        <v>3</v>
      </c>
      <c r="C244" s="60" t="s">
        <v>247</v>
      </c>
      <c r="D244" s="60" t="s">
        <v>75</v>
      </c>
      <c r="E244" s="60" t="s">
        <v>245</v>
      </c>
      <c r="F244" s="61" t="n">
        <v>9.8</v>
      </c>
      <c r="G244" s="61" t="n">
        <v>9.8</v>
      </c>
      <c r="H244" s="60" t="n">
        <v>28</v>
      </c>
      <c r="I244" s="62" t="n">
        <f aca="false">IFERROR(F244*H244,"")</f>
        <v>274.4</v>
      </c>
      <c r="J244" s="60" t="n">
        <v>4.2</v>
      </c>
      <c r="K244" s="62" t="n">
        <f aca="false">IFERROR((F244-J244)*H244,"")</f>
        <v>156.8</v>
      </c>
      <c r="L244" s="63" t="n">
        <f aca="false">IFERROR(IF(F244&gt;0,LN(F244),""),"")</f>
        <v>2.28238238567653</v>
      </c>
      <c r="M244" s="63" t="n">
        <f aca="false">IFERROR(IF(H244&gt;0,LN(H244),""),"")</f>
        <v>3.3322045101752</v>
      </c>
    </row>
    <row r="245" customFormat="false" ht="15" hidden="false" customHeight="true" outlineLevel="0" collapsed="false">
      <c r="A245" s="60" t="n">
        <v>60</v>
      </c>
      <c r="B245" s="60" t="n">
        <v>4</v>
      </c>
      <c r="C245" s="60" t="s">
        <v>247</v>
      </c>
      <c r="D245" s="60" t="s">
        <v>75</v>
      </c>
      <c r="E245" s="60" t="s">
        <v>245</v>
      </c>
      <c r="F245" s="61" t="n">
        <v>10.78</v>
      </c>
      <c r="G245" s="61" t="n">
        <v>9.8</v>
      </c>
      <c r="H245" s="60" t="n">
        <v>24</v>
      </c>
      <c r="I245" s="62" t="n">
        <f aca="false">IFERROR(F245*H245,"")</f>
        <v>258.72</v>
      </c>
      <c r="J245" s="60" t="n">
        <v>4.2</v>
      </c>
      <c r="K245" s="62" t="n">
        <f aca="false">IFERROR((F245-J245)*H245,"")</f>
        <v>157.92</v>
      </c>
      <c r="L245" s="63" t="n">
        <f aca="false">IFERROR(IF(F245&gt;0,LN(F245),""),"")</f>
        <v>2.37769256548085</v>
      </c>
      <c r="M245" s="63" t="n">
        <f aca="false">IFERROR(IF(H245&gt;0,LN(H245),""),"")</f>
        <v>3.17805383034795</v>
      </c>
    </row>
    <row r="246" customFormat="false" ht="15" hidden="false" customHeight="true" outlineLevel="0" collapsed="false">
      <c r="A246" s="60" t="n">
        <v>61</v>
      </c>
      <c r="B246" s="60" t="n">
        <v>5</v>
      </c>
      <c r="C246" s="60" t="s">
        <v>247</v>
      </c>
      <c r="D246" s="60" t="s">
        <v>75</v>
      </c>
      <c r="E246" s="60" t="s">
        <v>245</v>
      </c>
      <c r="F246" s="61" t="n">
        <v>9.31</v>
      </c>
      <c r="G246" s="61" t="n">
        <v>9.8</v>
      </c>
      <c r="H246" s="60" t="n">
        <v>28</v>
      </c>
      <c r="I246" s="62" t="n">
        <f aca="false">IFERROR(F246*H246,"")</f>
        <v>260.68</v>
      </c>
      <c r="J246" s="60" t="n">
        <v>4.2</v>
      </c>
      <c r="K246" s="62" t="n">
        <f aca="false">IFERROR((F246-J246)*H246,"")</f>
        <v>143.08</v>
      </c>
      <c r="L246" s="63" t="n">
        <f aca="false">IFERROR(IF(F246&gt;0,LN(F246),""),"")</f>
        <v>2.23108909128898</v>
      </c>
      <c r="M246" s="63" t="n">
        <f aca="false">IFERROR(IF(H246&gt;0,LN(H246),""),"")</f>
        <v>3.3322045101752</v>
      </c>
    </row>
    <row r="247" customFormat="false" ht="15" hidden="false" customHeight="true" outlineLevel="0" collapsed="false">
      <c r="A247" s="60" t="n">
        <v>62</v>
      </c>
      <c r="B247" s="60" t="n">
        <v>6</v>
      </c>
      <c r="C247" s="60" t="s">
        <v>247</v>
      </c>
      <c r="D247" s="60" t="s">
        <v>75</v>
      </c>
      <c r="E247" s="60" t="s">
        <v>245</v>
      </c>
      <c r="F247" s="61" t="n">
        <v>10.29</v>
      </c>
      <c r="G247" s="61" t="n">
        <v>9.8</v>
      </c>
      <c r="H247" s="60" t="n">
        <v>26</v>
      </c>
      <c r="I247" s="62" t="n">
        <f aca="false">IFERROR(F247*H247,"")</f>
        <v>267.54</v>
      </c>
      <c r="J247" s="60" t="n">
        <v>4.2</v>
      </c>
      <c r="K247" s="62" t="n">
        <f aca="false">IFERROR((F247-J247)*H247,"")</f>
        <v>158.34</v>
      </c>
      <c r="L247" s="63" t="n">
        <f aca="false">IFERROR(IF(F247&gt;0,LN(F247),""),"")</f>
        <v>2.33117254984596</v>
      </c>
      <c r="M247" s="63" t="n">
        <f aca="false">IFERROR(IF(H247&gt;0,LN(H247),""),"")</f>
        <v>3.25809653802148</v>
      </c>
    </row>
    <row r="248" customFormat="false" ht="15" hidden="false" customHeight="true" outlineLevel="0" collapsed="false">
      <c r="A248" s="60" t="n">
        <v>63</v>
      </c>
      <c r="B248" s="60" t="n">
        <v>7</v>
      </c>
      <c r="C248" s="60" t="s">
        <v>247</v>
      </c>
      <c r="D248" s="60" t="s">
        <v>75</v>
      </c>
      <c r="E248" s="60" t="s">
        <v>245</v>
      </c>
      <c r="F248" s="61" t="n">
        <v>8.82</v>
      </c>
      <c r="G248" s="61" t="n">
        <v>9.8</v>
      </c>
      <c r="H248" s="60" t="n">
        <v>32</v>
      </c>
      <c r="I248" s="62" t="n">
        <f aca="false">IFERROR(F248*H248,"")</f>
        <v>282.24</v>
      </c>
      <c r="J248" s="60" t="n">
        <v>4.2</v>
      </c>
      <c r="K248" s="62" t="n">
        <f aca="false">IFERROR((F248-J248)*H248,"")</f>
        <v>147.84</v>
      </c>
      <c r="L248" s="63" t="n">
        <f aca="false">IFERROR(IF(F248&gt;0,LN(F248),""),"")</f>
        <v>2.1770218700187</v>
      </c>
      <c r="M248" s="63" t="n">
        <f aca="false">IFERROR(IF(H248&gt;0,LN(H248),""),"")</f>
        <v>3.46573590279973</v>
      </c>
    </row>
    <row r="249" customFormat="false" ht="15" hidden="false" customHeight="true" outlineLevel="0" collapsed="false">
      <c r="A249" s="60" t="n">
        <v>64</v>
      </c>
      <c r="B249" s="60" t="n">
        <v>1</v>
      </c>
      <c r="C249" s="60" t="s">
        <v>247</v>
      </c>
      <c r="D249" s="60" t="s">
        <v>75</v>
      </c>
      <c r="E249" s="60" t="s">
        <v>245</v>
      </c>
      <c r="F249" s="61" t="n">
        <v>10.29</v>
      </c>
      <c r="G249" s="61" t="n">
        <v>9.8</v>
      </c>
      <c r="H249" s="60" t="n">
        <v>32</v>
      </c>
      <c r="I249" s="62" t="n">
        <f aca="false">IFERROR(F249*H249,"")</f>
        <v>329.28</v>
      </c>
      <c r="J249" s="60" t="n">
        <v>4.2</v>
      </c>
      <c r="K249" s="62" t="n">
        <f aca="false">IFERROR((F249-J249)*H249,"")</f>
        <v>194.88</v>
      </c>
      <c r="L249" s="63" t="n">
        <f aca="false">IFERROR(IF(F249&gt;0,LN(F249),""),"")</f>
        <v>2.33117254984596</v>
      </c>
      <c r="M249" s="63" t="n">
        <f aca="false">IFERROR(IF(H249&gt;0,LN(H249),""),"")</f>
        <v>3.46573590279973</v>
      </c>
    </row>
    <row r="250" customFormat="false" ht="15" hidden="false" customHeight="true" outlineLevel="0" collapsed="false">
      <c r="A250" s="60" t="n">
        <v>65</v>
      </c>
      <c r="B250" s="60" t="n">
        <v>2</v>
      </c>
      <c r="C250" s="60" t="s">
        <v>247</v>
      </c>
      <c r="D250" s="60" t="s">
        <v>75</v>
      </c>
      <c r="E250" s="60" t="s">
        <v>245</v>
      </c>
      <c r="F250" s="61" t="n">
        <v>10.29</v>
      </c>
      <c r="G250" s="61" t="n">
        <v>9.8</v>
      </c>
      <c r="H250" s="60" t="n">
        <v>26</v>
      </c>
      <c r="I250" s="62" t="n">
        <f aca="false">IFERROR(F250*H250,"")</f>
        <v>267.54</v>
      </c>
      <c r="J250" s="60" t="n">
        <v>4.2</v>
      </c>
      <c r="K250" s="62" t="n">
        <f aca="false">IFERROR((F250-J250)*H250,"")</f>
        <v>158.34</v>
      </c>
      <c r="L250" s="63" t="n">
        <f aca="false">IFERROR(IF(F250&gt;0,LN(F250),""),"")</f>
        <v>2.33117254984596</v>
      </c>
      <c r="M250" s="63" t="n">
        <f aca="false">IFERROR(IF(H250&gt;0,LN(H250),""),"")</f>
        <v>3.25809653802148</v>
      </c>
    </row>
    <row r="251" customFormat="false" ht="15" hidden="false" customHeight="true" outlineLevel="0" collapsed="false">
      <c r="A251" s="60" t="n">
        <v>66</v>
      </c>
      <c r="B251" s="60" t="n">
        <v>3</v>
      </c>
      <c r="C251" s="60" t="s">
        <v>247</v>
      </c>
      <c r="D251" s="60" t="s">
        <v>75</v>
      </c>
      <c r="E251" s="60" t="s">
        <v>245</v>
      </c>
      <c r="F251" s="61" t="n">
        <v>9.8</v>
      </c>
      <c r="G251" s="61" t="n">
        <v>9.8</v>
      </c>
      <c r="H251" s="60" t="n">
        <v>26</v>
      </c>
      <c r="I251" s="62" t="n">
        <f aca="false">IFERROR(F251*H251,"")</f>
        <v>254.8</v>
      </c>
      <c r="J251" s="60" t="n">
        <v>4.2</v>
      </c>
      <c r="K251" s="62" t="n">
        <f aca="false">IFERROR((F251-J251)*H251,"")</f>
        <v>145.6</v>
      </c>
      <c r="L251" s="63" t="n">
        <f aca="false">IFERROR(IF(F251&gt;0,LN(F251),""),"")</f>
        <v>2.28238238567653</v>
      </c>
      <c r="M251" s="63" t="n">
        <f aca="false">IFERROR(IF(H251&gt;0,LN(H251),""),"")</f>
        <v>3.25809653802148</v>
      </c>
    </row>
    <row r="252" customFormat="false" ht="15" hidden="false" customHeight="true" outlineLevel="0" collapsed="false">
      <c r="A252" s="60" t="n">
        <v>67</v>
      </c>
      <c r="B252" s="60" t="n">
        <v>4</v>
      </c>
      <c r="C252" s="60" t="s">
        <v>247</v>
      </c>
      <c r="D252" s="60" t="s">
        <v>75</v>
      </c>
      <c r="E252" s="60" t="s">
        <v>245</v>
      </c>
      <c r="F252" s="61" t="n">
        <v>10.78</v>
      </c>
      <c r="G252" s="61" t="n">
        <v>9.8</v>
      </c>
      <c r="H252" s="60" t="n">
        <v>29</v>
      </c>
      <c r="I252" s="62" t="n">
        <f aca="false">IFERROR(F252*H252,"")</f>
        <v>312.62</v>
      </c>
      <c r="J252" s="60" t="n">
        <v>4.2</v>
      </c>
      <c r="K252" s="62" t="n">
        <f aca="false">IFERROR((F252-J252)*H252,"")</f>
        <v>190.82</v>
      </c>
      <c r="L252" s="63" t="n">
        <f aca="false">IFERROR(IF(F252&gt;0,LN(F252),""),"")</f>
        <v>2.37769256548085</v>
      </c>
      <c r="M252" s="63" t="n">
        <f aca="false">IFERROR(IF(H252&gt;0,LN(H252),""),"")</f>
        <v>3.36729582998647</v>
      </c>
    </row>
    <row r="253" customFormat="false" ht="15" hidden="false" customHeight="true" outlineLevel="0" collapsed="false">
      <c r="A253" s="60" t="n">
        <v>68</v>
      </c>
      <c r="B253" s="60" t="n">
        <v>5</v>
      </c>
      <c r="C253" s="60" t="s">
        <v>247</v>
      </c>
      <c r="D253" s="60" t="s">
        <v>75</v>
      </c>
      <c r="E253" s="60" t="s">
        <v>245</v>
      </c>
      <c r="F253" s="61" t="n">
        <v>10.78</v>
      </c>
      <c r="G253" s="61" t="n">
        <v>9.8</v>
      </c>
      <c r="H253" s="60" t="n">
        <v>33</v>
      </c>
      <c r="I253" s="62" t="n">
        <f aca="false">IFERROR(F253*H253,"")</f>
        <v>355.74</v>
      </c>
      <c r="J253" s="60" t="n">
        <v>4.2</v>
      </c>
      <c r="K253" s="62" t="n">
        <f aca="false">IFERROR((F253-J253)*H253,"")</f>
        <v>217.14</v>
      </c>
      <c r="L253" s="63" t="n">
        <f aca="false">IFERROR(IF(F253&gt;0,LN(F253),""),"")</f>
        <v>2.37769256548085</v>
      </c>
      <c r="M253" s="63" t="n">
        <f aca="false">IFERROR(IF(H253&gt;0,LN(H253),""),"")</f>
        <v>3.49650756146648</v>
      </c>
    </row>
    <row r="254" customFormat="false" ht="15" hidden="false" customHeight="true" outlineLevel="0" collapsed="false">
      <c r="A254" s="60" t="n">
        <v>69</v>
      </c>
      <c r="B254" s="60" t="n">
        <v>6</v>
      </c>
      <c r="C254" s="60" t="s">
        <v>247</v>
      </c>
      <c r="D254" s="60" t="s">
        <v>75</v>
      </c>
      <c r="E254" s="60" t="s">
        <v>245</v>
      </c>
      <c r="F254" s="61" t="n">
        <v>9.31</v>
      </c>
      <c r="G254" s="61" t="n">
        <v>9.8</v>
      </c>
      <c r="H254" s="60" t="n">
        <v>29</v>
      </c>
      <c r="I254" s="62" t="n">
        <f aca="false">IFERROR(F254*H254,"")</f>
        <v>269.99</v>
      </c>
      <c r="J254" s="60" t="n">
        <v>4.2</v>
      </c>
      <c r="K254" s="62" t="n">
        <f aca="false">IFERROR((F254-J254)*H254,"")</f>
        <v>148.19</v>
      </c>
      <c r="L254" s="63" t="n">
        <f aca="false">IFERROR(IF(F254&gt;0,LN(F254),""),"")</f>
        <v>2.23108909128898</v>
      </c>
      <c r="M254" s="63" t="n">
        <f aca="false">IFERROR(IF(H254&gt;0,LN(H254),""),"")</f>
        <v>3.36729582998647</v>
      </c>
    </row>
    <row r="255" customFormat="false" ht="15" hidden="false" customHeight="true" outlineLevel="0" collapsed="false">
      <c r="A255" s="60" t="n">
        <v>70</v>
      </c>
      <c r="B255" s="60" t="n">
        <v>7</v>
      </c>
      <c r="C255" s="60" t="s">
        <v>247</v>
      </c>
      <c r="D255" s="60" t="s">
        <v>75</v>
      </c>
      <c r="E255" s="60" t="s">
        <v>245</v>
      </c>
      <c r="F255" s="61" t="n">
        <v>10.78</v>
      </c>
      <c r="G255" s="61" t="n">
        <v>9.8</v>
      </c>
      <c r="H255" s="60" t="n">
        <v>25</v>
      </c>
      <c r="I255" s="62" t="n">
        <f aca="false">IFERROR(F255*H255,"")</f>
        <v>269.5</v>
      </c>
      <c r="J255" s="60" t="n">
        <v>4.2</v>
      </c>
      <c r="K255" s="62" t="n">
        <f aca="false">IFERROR((F255-J255)*H255,"")</f>
        <v>164.5</v>
      </c>
      <c r="L255" s="63" t="n">
        <f aca="false">IFERROR(IF(F255&gt;0,LN(F255),""),"")</f>
        <v>2.37769256548085</v>
      </c>
      <c r="M255" s="63" t="n">
        <f aca="false">IFERROR(IF(H255&gt;0,LN(H255),""),"")</f>
        <v>3.2188758248682</v>
      </c>
    </row>
    <row r="256" customFormat="false" ht="15" hidden="false" customHeight="true" outlineLevel="0" collapsed="false">
      <c r="A256" s="60" t="n">
        <v>71</v>
      </c>
      <c r="B256" s="60" t="n">
        <v>1</v>
      </c>
      <c r="C256" s="60" t="s">
        <v>247</v>
      </c>
      <c r="D256" s="60" t="s">
        <v>75</v>
      </c>
      <c r="E256" s="60" t="s">
        <v>245</v>
      </c>
      <c r="F256" s="61" t="n">
        <v>10.78</v>
      </c>
      <c r="G256" s="61" t="n">
        <v>9.8</v>
      </c>
      <c r="H256" s="60" t="n">
        <v>26</v>
      </c>
      <c r="I256" s="62" t="n">
        <f aca="false">IFERROR(F256*H256,"")</f>
        <v>280.28</v>
      </c>
      <c r="J256" s="60" t="n">
        <v>4.2</v>
      </c>
      <c r="K256" s="62" t="n">
        <f aca="false">IFERROR((F256-J256)*H256,"")</f>
        <v>171.08</v>
      </c>
      <c r="L256" s="63" t="n">
        <f aca="false">IFERROR(IF(F256&gt;0,LN(F256),""),"")</f>
        <v>2.37769256548085</v>
      </c>
      <c r="M256" s="63" t="n">
        <f aca="false">IFERROR(IF(H256&gt;0,LN(H256),""),"")</f>
        <v>3.25809653802148</v>
      </c>
    </row>
    <row r="257" customFormat="false" ht="15" hidden="false" customHeight="true" outlineLevel="0" collapsed="false">
      <c r="A257" s="60" t="n">
        <v>72</v>
      </c>
      <c r="B257" s="60" t="n">
        <v>2</v>
      </c>
      <c r="C257" s="60" t="s">
        <v>247</v>
      </c>
      <c r="D257" s="60" t="s">
        <v>75</v>
      </c>
      <c r="E257" s="60" t="s">
        <v>245</v>
      </c>
      <c r="F257" s="61" t="n">
        <v>9.31</v>
      </c>
      <c r="G257" s="61" t="n">
        <v>9.8</v>
      </c>
      <c r="H257" s="60" t="n">
        <v>30</v>
      </c>
      <c r="I257" s="62" t="n">
        <f aca="false">IFERROR(F257*H257,"")</f>
        <v>279.3</v>
      </c>
      <c r="J257" s="60" t="n">
        <v>4.2</v>
      </c>
      <c r="K257" s="62" t="n">
        <f aca="false">IFERROR((F257-J257)*H257,"")</f>
        <v>153.3</v>
      </c>
      <c r="L257" s="63" t="n">
        <f aca="false">IFERROR(IF(F257&gt;0,LN(F257),""),"")</f>
        <v>2.23108909128898</v>
      </c>
      <c r="M257" s="63" t="n">
        <f aca="false">IFERROR(IF(H257&gt;0,LN(H257),""),"")</f>
        <v>3.40119738166216</v>
      </c>
    </row>
    <row r="258" customFormat="false" ht="15" hidden="false" customHeight="true" outlineLevel="0" collapsed="false">
      <c r="A258" s="60" t="n">
        <v>73</v>
      </c>
      <c r="B258" s="60" t="n">
        <v>3</v>
      </c>
      <c r="C258" s="60" t="s">
        <v>247</v>
      </c>
      <c r="D258" s="60" t="s">
        <v>75</v>
      </c>
      <c r="E258" s="60" t="s">
        <v>245</v>
      </c>
      <c r="F258" s="61" t="n">
        <v>10.78</v>
      </c>
      <c r="G258" s="61" t="n">
        <v>9.8</v>
      </c>
      <c r="H258" s="60" t="n">
        <v>25</v>
      </c>
      <c r="I258" s="62" t="n">
        <f aca="false">IFERROR(F258*H258,"")</f>
        <v>269.5</v>
      </c>
      <c r="J258" s="60" t="n">
        <v>4.2</v>
      </c>
      <c r="K258" s="62" t="n">
        <f aca="false">IFERROR((F258-J258)*H258,"")</f>
        <v>164.5</v>
      </c>
      <c r="L258" s="63" t="n">
        <f aca="false">IFERROR(IF(F258&gt;0,LN(F258),""),"")</f>
        <v>2.37769256548085</v>
      </c>
      <c r="M258" s="63" t="n">
        <f aca="false">IFERROR(IF(H258&gt;0,LN(H258),""),"")</f>
        <v>3.2188758248682</v>
      </c>
    </row>
    <row r="259" customFormat="false" ht="15" hidden="false" customHeight="true" outlineLevel="0" collapsed="false">
      <c r="A259" s="60" t="n">
        <v>74</v>
      </c>
      <c r="B259" s="60" t="n">
        <v>4</v>
      </c>
      <c r="C259" s="60" t="s">
        <v>247</v>
      </c>
      <c r="D259" s="60" t="s">
        <v>75</v>
      </c>
      <c r="E259" s="60" t="s">
        <v>245</v>
      </c>
      <c r="F259" s="61" t="n">
        <v>9.31</v>
      </c>
      <c r="G259" s="61" t="n">
        <v>9.8</v>
      </c>
      <c r="H259" s="60" t="n">
        <v>40</v>
      </c>
      <c r="I259" s="62" t="n">
        <f aca="false">IFERROR(F259*H259,"")</f>
        <v>372.4</v>
      </c>
      <c r="J259" s="60" t="n">
        <v>4.2</v>
      </c>
      <c r="K259" s="62" t="n">
        <f aca="false">IFERROR((F259-J259)*H259,"")</f>
        <v>204.4</v>
      </c>
      <c r="L259" s="63" t="n">
        <f aca="false">IFERROR(IF(F259&gt;0,LN(F259),""),"")</f>
        <v>2.23108909128898</v>
      </c>
      <c r="M259" s="63" t="n">
        <f aca="false">IFERROR(IF(H259&gt;0,LN(H259),""),"")</f>
        <v>3.68887945411394</v>
      </c>
    </row>
    <row r="260" customFormat="false" ht="15" hidden="false" customHeight="true" outlineLevel="0" collapsed="false">
      <c r="A260" s="60" t="n">
        <v>75</v>
      </c>
      <c r="B260" s="60" t="n">
        <v>5</v>
      </c>
      <c r="C260" s="60" t="s">
        <v>247</v>
      </c>
      <c r="D260" s="60" t="s">
        <v>75</v>
      </c>
      <c r="E260" s="60" t="s">
        <v>245</v>
      </c>
      <c r="F260" s="61" t="n">
        <v>8.82</v>
      </c>
      <c r="G260" s="61" t="n">
        <v>9.8</v>
      </c>
      <c r="H260" s="60" t="n">
        <v>50</v>
      </c>
      <c r="I260" s="62" t="n">
        <f aca="false">IFERROR(F260*H260,"")</f>
        <v>441</v>
      </c>
      <c r="J260" s="60" t="n">
        <v>4.2</v>
      </c>
      <c r="K260" s="62" t="n">
        <f aca="false">IFERROR((F260-J260)*H260,"")</f>
        <v>231</v>
      </c>
      <c r="L260" s="63" t="n">
        <f aca="false">IFERROR(IF(F260&gt;0,LN(F260),""),"")</f>
        <v>2.1770218700187</v>
      </c>
      <c r="M260" s="63" t="n">
        <f aca="false">IFERROR(IF(H260&gt;0,LN(H260),""),"")</f>
        <v>3.91202300542815</v>
      </c>
    </row>
    <row r="261" customFormat="false" ht="15" hidden="false" customHeight="true" outlineLevel="0" collapsed="false">
      <c r="A261" s="60" t="n">
        <v>76</v>
      </c>
      <c r="B261" s="60" t="n">
        <v>6</v>
      </c>
      <c r="C261" s="60" t="s">
        <v>247</v>
      </c>
      <c r="D261" s="60" t="s">
        <v>75</v>
      </c>
      <c r="E261" s="60" t="s">
        <v>245</v>
      </c>
      <c r="F261" s="61" t="n">
        <v>10.29</v>
      </c>
      <c r="G261" s="61" t="n">
        <v>9.8</v>
      </c>
      <c r="H261" s="60" t="n">
        <v>33</v>
      </c>
      <c r="I261" s="62" t="n">
        <f aca="false">IFERROR(F261*H261,"")</f>
        <v>339.57</v>
      </c>
      <c r="J261" s="60" t="n">
        <v>4.2</v>
      </c>
      <c r="K261" s="62" t="n">
        <f aca="false">IFERROR((F261-J261)*H261,"")</f>
        <v>200.97</v>
      </c>
      <c r="L261" s="63" t="n">
        <f aca="false">IFERROR(IF(F261&gt;0,LN(F261),""),"")</f>
        <v>2.33117254984596</v>
      </c>
      <c r="M261" s="63" t="n">
        <f aca="false">IFERROR(IF(H261&gt;0,LN(H261),""),"")</f>
        <v>3.49650756146648</v>
      </c>
    </row>
    <row r="262" customFormat="false" ht="15" hidden="false" customHeight="true" outlineLevel="0" collapsed="false">
      <c r="A262" s="60" t="n">
        <v>77</v>
      </c>
      <c r="B262" s="60" t="n">
        <v>7</v>
      </c>
      <c r="C262" s="60" t="s">
        <v>247</v>
      </c>
      <c r="D262" s="60" t="s">
        <v>75</v>
      </c>
      <c r="E262" s="60" t="s">
        <v>245</v>
      </c>
      <c r="F262" s="61" t="n">
        <v>8.82</v>
      </c>
      <c r="G262" s="61" t="n">
        <v>9.8</v>
      </c>
      <c r="H262" s="60" t="n">
        <v>24</v>
      </c>
      <c r="I262" s="62" t="n">
        <f aca="false">IFERROR(F262*H262,"")</f>
        <v>211.68</v>
      </c>
      <c r="J262" s="60" t="n">
        <v>4.2</v>
      </c>
      <c r="K262" s="62" t="n">
        <f aca="false">IFERROR((F262-J262)*H262,"")</f>
        <v>110.88</v>
      </c>
      <c r="L262" s="63" t="n">
        <f aca="false">IFERROR(IF(F262&gt;0,LN(F262),""),"")</f>
        <v>2.1770218700187</v>
      </c>
      <c r="M262" s="63" t="n">
        <f aca="false">IFERROR(IF(H262&gt;0,LN(H262),""),"")</f>
        <v>3.17805383034795</v>
      </c>
    </row>
    <row r="263" customFormat="false" ht="15" hidden="false" customHeight="true" outlineLevel="0" collapsed="false">
      <c r="A263" s="60" t="n">
        <v>78</v>
      </c>
      <c r="B263" s="60" t="n">
        <v>1</v>
      </c>
      <c r="C263" s="60" t="s">
        <v>247</v>
      </c>
      <c r="D263" s="60" t="s">
        <v>75</v>
      </c>
      <c r="E263" s="60" t="s">
        <v>245</v>
      </c>
      <c r="F263" s="61" t="n">
        <v>10.29</v>
      </c>
      <c r="G263" s="61" t="n">
        <v>9.8</v>
      </c>
      <c r="H263" s="60" t="n">
        <v>31</v>
      </c>
      <c r="I263" s="62" t="n">
        <f aca="false">IFERROR(F263*H263,"")</f>
        <v>318.99</v>
      </c>
      <c r="J263" s="60" t="n">
        <v>4.2</v>
      </c>
      <c r="K263" s="62" t="n">
        <f aca="false">IFERROR((F263-J263)*H263,"")</f>
        <v>188.79</v>
      </c>
      <c r="L263" s="63" t="n">
        <f aca="false">IFERROR(IF(F263&gt;0,LN(F263),""),"")</f>
        <v>2.33117254984596</v>
      </c>
      <c r="M263" s="63" t="n">
        <f aca="false">IFERROR(IF(H263&gt;0,LN(H263),""),"")</f>
        <v>3.43398720448515</v>
      </c>
    </row>
    <row r="264" customFormat="false" ht="15" hidden="false" customHeight="true" outlineLevel="0" collapsed="false">
      <c r="A264" s="60" t="n">
        <v>79</v>
      </c>
      <c r="B264" s="60" t="n">
        <v>2</v>
      </c>
      <c r="C264" s="60" t="s">
        <v>247</v>
      </c>
      <c r="D264" s="60" t="s">
        <v>75</v>
      </c>
      <c r="E264" s="60" t="s">
        <v>245</v>
      </c>
      <c r="F264" s="61" t="n">
        <v>9.31</v>
      </c>
      <c r="G264" s="61" t="n">
        <v>9.8</v>
      </c>
      <c r="H264" s="60" t="n">
        <v>30</v>
      </c>
      <c r="I264" s="62" t="n">
        <f aca="false">IFERROR(F264*H264,"")</f>
        <v>279.3</v>
      </c>
      <c r="J264" s="60" t="n">
        <v>4.2</v>
      </c>
      <c r="K264" s="62" t="n">
        <f aca="false">IFERROR((F264-J264)*H264,"")</f>
        <v>153.3</v>
      </c>
      <c r="L264" s="63" t="n">
        <f aca="false">IFERROR(IF(F264&gt;0,LN(F264),""),"")</f>
        <v>2.23108909128898</v>
      </c>
      <c r="M264" s="63" t="n">
        <f aca="false">IFERROR(IF(H264&gt;0,LN(H264),""),"")</f>
        <v>3.40119738166216</v>
      </c>
    </row>
    <row r="265" customFormat="false" ht="15" hidden="false" customHeight="true" outlineLevel="0" collapsed="false">
      <c r="A265" s="60" t="n">
        <v>80</v>
      </c>
      <c r="B265" s="60" t="n">
        <v>3</v>
      </c>
      <c r="C265" s="60" t="s">
        <v>247</v>
      </c>
      <c r="D265" s="60" t="s">
        <v>75</v>
      </c>
      <c r="E265" s="60" t="s">
        <v>245</v>
      </c>
      <c r="F265" s="61" t="n">
        <v>9.8</v>
      </c>
      <c r="G265" s="61" t="n">
        <v>9.8</v>
      </c>
      <c r="H265" s="60" t="n">
        <v>26</v>
      </c>
      <c r="I265" s="62" t="n">
        <f aca="false">IFERROR(F265*H265,"")</f>
        <v>254.8</v>
      </c>
      <c r="J265" s="60" t="n">
        <v>4.2</v>
      </c>
      <c r="K265" s="62" t="n">
        <f aca="false">IFERROR((F265-J265)*H265,"")</f>
        <v>145.6</v>
      </c>
      <c r="L265" s="63" t="n">
        <f aca="false">IFERROR(IF(F265&gt;0,LN(F265),""),"")</f>
        <v>2.28238238567653</v>
      </c>
      <c r="M265" s="63" t="n">
        <f aca="false">IFERROR(IF(H265&gt;0,LN(H265),""),"")</f>
        <v>3.25809653802148</v>
      </c>
    </row>
    <row r="266" customFormat="false" ht="15" hidden="false" customHeight="true" outlineLevel="0" collapsed="false">
      <c r="A266" s="60" t="n">
        <v>81</v>
      </c>
      <c r="B266" s="60" t="n">
        <v>4</v>
      </c>
      <c r="C266" s="60" t="s">
        <v>247</v>
      </c>
      <c r="D266" s="60" t="s">
        <v>75</v>
      </c>
      <c r="E266" s="60" t="s">
        <v>245</v>
      </c>
      <c r="F266" s="61" t="n">
        <v>9.31</v>
      </c>
      <c r="G266" s="61" t="n">
        <v>9.8</v>
      </c>
      <c r="H266" s="60" t="n">
        <v>36</v>
      </c>
      <c r="I266" s="62" t="n">
        <f aca="false">IFERROR(F266*H266,"")</f>
        <v>335.16</v>
      </c>
      <c r="J266" s="60" t="n">
        <v>4.2</v>
      </c>
      <c r="K266" s="62" t="n">
        <f aca="false">IFERROR((F266-J266)*H266,"")</f>
        <v>183.96</v>
      </c>
      <c r="L266" s="63" t="n">
        <f aca="false">IFERROR(IF(F266&gt;0,LN(F266),""),"")</f>
        <v>2.23108909128898</v>
      </c>
      <c r="M266" s="63" t="n">
        <f aca="false">IFERROR(IF(H266&gt;0,LN(H266),""),"")</f>
        <v>3.58351893845611</v>
      </c>
    </row>
    <row r="267" customFormat="false" ht="15" hidden="false" customHeight="true" outlineLevel="0" collapsed="false">
      <c r="A267" s="60" t="n">
        <v>82</v>
      </c>
      <c r="B267" s="60" t="n">
        <v>5</v>
      </c>
      <c r="C267" s="60" t="s">
        <v>247</v>
      </c>
      <c r="D267" s="60" t="s">
        <v>75</v>
      </c>
      <c r="E267" s="60" t="s">
        <v>245</v>
      </c>
      <c r="F267" s="61" t="n">
        <v>8.82</v>
      </c>
      <c r="G267" s="61" t="n">
        <v>9.8</v>
      </c>
      <c r="H267" s="60" t="n">
        <v>39</v>
      </c>
      <c r="I267" s="62" t="n">
        <f aca="false">IFERROR(F267*H267,"")</f>
        <v>343.98</v>
      </c>
      <c r="J267" s="60" t="n">
        <v>4.2</v>
      </c>
      <c r="K267" s="62" t="n">
        <f aca="false">IFERROR((F267-J267)*H267,"")</f>
        <v>180.18</v>
      </c>
      <c r="L267" s="63" t="n">
        <f aca="false">IFERROR(IF(F267&gt;0,LN(F267),""),"")</f>
        <v>2.1770218700187</v>
      </c>
      <c r="M267" s="63" t="n">
        <f aca="false">IFERROR(IF(H267&gt;0,LN(H267),""),"")</f>
        <v>3.66356164612965</v>
      </c>
    </row>
    <row r="268" customFormat="false" ht="15" hidden="false" customHeight="true" outlineLevel="0" collapsed="false">
      <c r="A268" s="60" t="n">
        <v>83</v>
      </c>
      <c r="B268" s="60" t="n">
        <v>6</v>
      </c>
      <c r="C268" s="60" t="s">
        <v>247</v>
      </c>
      <c r="D268" s="60" t="s">
        <v>75</v>
      </c>
      <c r="E268" s="60" t="s">
        <v>245</v>
      </c>
      <c r="F268" s="61" t="n">
        <v>9.8</v>
      </c>
      <c r="G268" s="61" t="n">
        <v>9.8</v>
      </c>
      <c r="H268" s="60" t="n">
        <v>32</v>
      </c>
      <c r="I268" s="62" t="n">
        <f aca="false">IFERROR(F268*H268,"")</f>
        <v>313.6</v>
      </c>
      <c r="J268" s="60" t="n">
        <v>4.2</v>
      </c>
      <c r="K268" s="62" t="n">
        <f aca="false">IFERROR((F268-J268)*H268,"")</f>
        <v>179.2</v>
      </c>
      <c r="L268" s="63" t="n">
        <f aca="false">IFERROR(IF(F268&gt;0,LN(F268),""),"")</f>
        <v>2.28238238567653</v>
      </c>
      <c r="M268" s="63" t="n">
        <f aca="false">IFERROR(IF(H268&gt;0,LN(H268),""),"")</f>
        <v>3.46573590279973</v>
      </c>
    </row>
    <row r="269" customFormat="false" ht="15" hidden="false" customHeight="true" outlineLevel="0" collapsed="false">
      <c r="A269" s="60" t="n">
        <v>84</v>
      </c>
      <c r="B269" s="60" t="n">
        <v>7</v>
      </c>
      <c r="C269" s="60" t="s">
        <v>247</v>
      </c>
      <c r="D269" s="60" t="s">
        <v>75</v>
      </c>
      <c r="E269" s="60" t="s">
        <v>245</v>
      </c>
      <c r="F269" s="61" t="n">
        <v>10.78</v>
      </c>
      <c r="G269" s="61" t="n">
        <v>9.8</v>
      </c>
      <c r="H269" s="60" t="n">
        <v>36</v>
      </c>
      <c r="I269" s="62" t="n">
        <f aca="false">IFERROR(F269*H269,"")</f>
        <v>388.08</v>
      </c>
      <c r="J269" s="60" t="n">
        <v>4.2</v>
      </c>
      <c r="K269" s="62" t="n">
        <f aca="false">IFERROR((F269-J269)*H269,"")</f>
        <v>236.88</v>
      </c>
      <c r="L269" s="63" t="n">
        <f aca="false">IFERROR(IF(F269&gt;0,LN(F269),""),"")</f>
        <v>2.37769256548085</v>
      </c>
      <c r="M269" s="63" t="n">
        <f aca="false">IFERROR(IF(H269&gt;0,LN(H269),""),"")</f>
        <v>3.58351893845611</v>
      </c>
    </row>
    <row r="270" customFormat="false" ht="15" hidden="false" customHeight="true" outlineLevel="0" collapsed="false">
      <c r="A270" s="60" t="n">
        <v>85</v>
      </c>
      <c r="B270" s="60" t="n">
        <v>1</v>
      </c>
      <c r="C270" s="60" t="s">
        <v>247</v>
      </c>
      <c r="D270" s="60" t="s">
        <v>75</v>
      </c>
      <c r="E270" s="60" t="s">
        <v>245</v>
      </c>
      <c r="F270" s="61" t="n">
        <v>10.29</v>
      </c>
      <c r="G270" s="61" t="n">
        <v>9.8</v>
      </c>
      <c r="H270" s="60" t="n">
        <v>24</v>
      </c>
      <c r="I270" s="62" t="n">
        <f aca="false">IFERROR(F270*H270,"")</f>
        <v>246.96</v>
      </c>
      <c r="J270" s="60" t="n">
        <v>4.2</v>
      </c>
      <c r="K270" s="62" t="n">
        <f aca="false">IFERROR((F270-J270)*H270,"")</f>
        <v>146.16</v>
      </c>
      <c r="L270" s="63" t="n">
        <f aca="false">IFERROR(IF(F270&gt;0,LN(F270),""),"")</f>
        <v>2.33117254984596</v>
      </c>
      <c r="M270" s="63" t="n">
        <f aca="false">IFERROR(IF(H270&gt;0,LN(H270),""),"")</f>
        <v>3.17805383034795</v>
      </c>
    </row>
    <row r="271" customFormat="false" ht="15" hidden="false" customHeight="true" outlineLevel="0" collapsed="false">
      <c r="A271" s="60" t="n">
        <v>86</v>
      </c>
      <c r="B271" s="60" t="n">
        <v>2</v>
      </c>
      <c r="C271" s="60" t="s">
        <v>247</v>
      </c>
      <c r="D271" s="60" t="s">
        <v>75</v>
      </c>
      <c r="E271" s="60" t="s">
        <v>245</v>
      </c>
      <c r="F271" s="61" t="n">
        <v>8.82</v>
      </c>
      <c r="G271" s="61" t="n">
        <v>9.8</v>
      </c>
      <c r="H271" s="60" t="n">
        <v>34</v>
      </c>
      <c r="I271" s="62" t="n">
        <f aca="false">IFERROR(F271*H271,"")</f>
        <v>299.88</v>
      </c>
      <c r="J271" s="60" t="n">
        <v>4.2</v>
      </c>
      <c r="K271" s="62" t="n">
        <f aca="false">IFERROR((F271-J271)*H271,"")</f>
        <v>157.08</v>
      </c>
      <c r="L271" s="63" t="n">
        <f aca="false">IFERROR(IF(F271&gt;0,LN(F271),""),"")</f>
        <v>2.1770218700187</v>
      </c>
      <c r="M271" s="63" t="n">
        <f aca="false">IFERROR(IF(H271&gt;0,LN(H271),""),"")</f>
        <v>3.52636052461616</v>
      </c>
    </row>
    <row r="272" customFormat="false" ht="15" hidden="false" customHeight="true" outlineLevel="0" collapsed="false">
      <c r="A272" s="60" t="n">
        <v>87</v>
      </c>
      <c r="B272" s="60" t="n">
        <v>3</v>
      </c>
      <c r="C272" s="60" t="s">
        <v>247</v>
      </c>
      <c r="D272" s="60" t="s">
        <v>75</v>
      </c>
      <c r="E272" s="60" t="s">
        <v>245</v>
      </c>
      <c r="F272" s="61" t="n">
        <v>9.8</v>
      </c>
      <c r="G272" s="61" t="n">
        <v>9.8</v>
      </c>
      <c r="H272" s="60" t="n">
        <v>34</v>
      </c>
      <c r="I272" s="62" t="n">
        <f aca="false">IFERROR(F272*H272,"")</f>
        <v>333.2</v>
      </c>
      <c r="J272" s="60" t="n">
        <v>4.2</v>
      </c>
      <c r="K272" s="62" t="n">
        <f aca="false">IFERROR((F272-J272)*H272,"")</f>
        <v>190.4</v>
      </c>
      <c r="L272" s="63" t="n">
        <f aca="false">IFERROR(IF(F272&gt;0,LN(F272),""),"")</f>
        <v>2.28238238567653</v>
      </c>
      <c r="M272" s="63" t="n">
        <f aca="false">IFERROR(IF(H272&gt;0,LN(H272),""),"")</f>
        <v>3.52636052461616</v>
      </c>
    </row>
    <row r="273" customFormat="false" ht="15" hidden="false" customHeight="true" outlineLevel="0" collapsed="false">
      <c r="A273" s="60" t="n">
        <v>88</v>
      </c>
      <c r="B273" s="60" t="n">
        <v>4</v>
      </c>
      <c r="C273" s="60" t="s">
        <v>247</v>
      </c>
      <c r="D273" s="60" t="s">
        <v>75</v>
      </c>
      <c r="E273" s="60" t="s">
        <v>245</v>
      </c>
      <c r="F273" s="61" t="n">
        <v>10.29</v>
      </c>
      <c r="G273" s="61" t="n">
        <v>9.8</v>
      </c>
      <c r="H273" s="60" t="n">
        <v>33</v>
      </c>
      <c r="I273" s="62" t="n">
        <f aca="false">IFERROR(F273*H273,"")</f>
        <v>339.57</v>
      </c>
      <c r="J273" s="60" t="n">
        <v>4.2</v>
      </c>
      <c r="K273" s="62" t="n">
        <f aca="false">IFERROR((F273-J273)*H273,"")</f>
        <v>200.97</v>
      </c>
      <c r="L273" s="63" t="n">
        <f aca="false">IFERROR(IF(F273&gt;0,LN(F273),""),"")</f>
        <v>2.33117254984596</v>
      </c>
      <c r="M273" s="63" t="n">
        <f aca="false">IFERROR(IF(H273&gt;0,LN(H273),""),"")</f>
        <v>3.49650756146648</v>
      </c>
    </row>
    <row r="274" customFormat="false" ht="15" hidden="false" customHeight="true" outlineLevel="0" collapsed="false">
      <c r="A274" s="60" t="n">
        <v>89</v>
      </c>
      <c r="B274" s="60" t="n">
        <v>5</v>
      </c>
      <c r="C274" s="60" t="s">
        <v>247</v>
      </c>
      <c r="D274" s="60" t="s">
        <v>75</v>
      </c>
      <c r="E274" s="60" t="s">
        <v>245</v>
      </c>
      <c r="F274" s="61" t="n">
        <v>10.29</v>
      </c>
      <c r="G274" s="61" t="n">
        <v>9.8</v>
      </c>
      <c r="H274" s="60" t="n">
        <v>21</v>
      </c>
      <c r="I274" s="62" t="n">
        <f aca="false">IFERROR(F274*H274,"")</f>
        <v>216.09</v>
      </c>
      <c r="J274" s="60" t="n">
        <v>4.2</v>
      </c>
      <c r="K274" s="62" t="n">
        <f aca="false">IFERROR((F274-J274)*H274,"")</f>
        <v>127.89</v>
      </c>
      <c r="L274" s="63" t="n">
        <f aca="false">IFERROR(IF(F274&gt;0,LN(F274),""),"")</f>
        <v>2.33117254984596</v>
      </c>
      <c r="M274" s="63" t="n">
        <f aca="false">IFERROR(IF(H274&gt;0,LN(H274),""),"")</f>
        <v>3.04452243772342</v>
      </c>
    </row>
    <row r="275" customFormat="false" ht="15" hidden="false" customHeight="true" outlineLevel="0" collapsed="false">
      <c r="A275" s="60" t="n">
        <v>90</v>
      </c>
      <c r="B275" s="60" t="n">
        <v>6</v>
      </c>
      <c r="C275" s="60" t="s">
        <v>247</v>
      </c>
      <c r="D275" s="60" t="s">
        <v>75</v>
      </c>
      <c r="E275" s="60" t="s">
        <v>245</v>
      </c>
      <c r="F275" s="61" t="n">
        <v>9.8</v>
      </c>
      <c r="G275" s="61" t="n">
        <v>9.8</v>
      </c>
      <c r="H275" s="60" t="n">
        <v>24</v>
      </c>
      <c r="I275" s="62" t="n">
        <f aca="false">IFERROR(F275*H275,"")</f>
        <v>235.2</v>
      </c>
      <c r="J275" s="60" t="n">
        <v>4.2</v>
      </c>
      <c r="K275" s="62" t="n">
        <f aca="false">IFERROR((F275-J275)*H275,"")</f>
        <v>134.4</v>
      </c>
      <c r="L275" s="63" t="n">
        <f aca="false">IFERROR(IF(F275&gt;0,LN(F275),""),"")</f>
        <v>2.28238238567653</v>
      </c>
      <c r="M275" s="63" t="n">
        <f aca="false">IFERROR(IF(H275&gt;0,LN(H275),""),"")</f>
        <v>3.17805383034795</v>
      </c>
    </row>
    <row r="276" customFormat="false" ht="15" hidden="false" customHeight="true" outlineLevel="0" collapsed="false">
      <c r="A276" s="60" t="n">
        <v>1</v>
      </c>
      <c r="B276" s="60" t="n">
        <v>1</v>
      </c>
      <c r="C276" s="60" t="s">
        <v>248</v>
      </c>
      <c r="D276" s="60" t="s">
        <v>79</v>
      </c>
      <c r="E276" s="60" t="s">
        <v>245</v>
      </c>
      <c r="F276" s="61" t="n">
        <v>11.03</v>
      </c>
      <c r="G276" s="61" t="n">
        <v>10.5</v>
      </c>
      <c r="H276" s="60" t="n">
        <v>37</v>
      </c>
      <c r="I276" s="62" t="n">
        <f aca="false">IFERROR(F276*H276,"")</f>
        <v>408.11</v>
      </c>
      <c r="J276" s="60" t="n">
        <v>4.5</v>
      </c>
      <c r="K276" s="62" t="n">
        <f aca="false">IFERROR((F276-J276)*H276,"")</f>
        <v>241.61</v>
      </c>
      <c r="L276" s="63" t="n">
        <f aca="false">IFERROR(IF(F276&gt;0,LN(F276),""),"")</f>
        <v>2.40061883326541</v>
      </c>
      <c r="M276" s="63" t="n">
        <f aca="false">IFERROR(IF(H276&gt;0,LN(H276),""),"")</f>
        <v>3.61091791264422</v>
      </c>
    </row>
    <row r="277" customFormat="false" ht="15" hidden="false" customHeight="true" outlineLevel="0" collapsed="false">
      <c r="A277" s="60" t="n">
        <v>2</v>
      </c>
      <c r="B277" s="60" t="n">
        <v>2</v>
      </c>
      <c r="C277" s="60" t="s">
        <v>248</v>
      </c>
      <c r="D277" s="60" t="s">
        <v>79</v>
      </c>
      <c r="E277" s="60" t="s">
        <v>245</v>
      </c>
      <c r="F277" s="61" t="n">
        <v>10.5</v>
      </c>
      <c r="G277" s="61" t="n">
        <v>10.5</v>
      </c>
      <c r="H277" s="60" t="n">
        <v>26</v>
      </c>
      <c r="I277" s="62" t="n">
        <f aca="false">IFERROR(F277*H277,"")</f>
        <v>273</v>
      </c>
      <c r="J277" s="60" t="n">
        <v>4.5</v>
      </c>
      <c r="K277" s="62" t="n">
        <f aca="false">IFERROR((F277-J277)*H277,"")</f>
        <v>156</v>
      </c>
      <c r="L277" s="63" t="n">
        <f aca="false">IFERROR(IF(F277&gt;0,LN(F277),""),"")</f>
        <v>2.35137525716348</v>
      </c>
      <c r="M277" s="63" t="n">
        <f aca="false">IFERROR(IF(H277&gt;0,LN(H277),""),"")</f>
        <v>3.25809653802148</v>
      </c>
    </row>
    <row r="278" customFormat="false" ht="15" hidden="false" customHeight="true" outlineLevel="0" collapsed="false">
      <c r="A278" s="60" t="n">
        <v>3</v>
      </c>
      <c r="B278" s="60" t="n">
        <v>3</v>
      </c>
      <c r="C278" s="60" t="s">
        <v>248</v>
      </c>
      <c r="D278" s="60" t="s">
        <v>79</v>
      </c>
      <c r="E278" s="60" t="s">
        <v>245</v>
      </c>
      <c r="F278" s="61" t="n">
        <v>11.03</v>
      </c>
      <c r="G278" s="61" t="n">
        <v>10.5</v>
      </c>
      <c r="H278" s="60" t="n">
        <v>30</v>
      </c>
      <c r="I278" s="62" t="n">
        <f aca="false">IFERROR(F278*H278,"")</f>
        <v>330.9</v>
      </c>
      <c r="J278" s="60" t="n">
        <v>4.5</v>
      </c>
      <c r="K278" s="62" t="n">
        <f aca="false">IFERROR((F278-J278)*H278,"")</f>
        <v>195.9</v>
      </c>
      <c r="L278" s="63" t="n">
        <f aca="false">IFERROR(IF(F278&gt;0,LN(F278),""),"")</f>
        <v>2.40061883326541</v>
      </c>
      <c r="M278" s="63" t="n">
        <f aca="false">IFERROR(IF(H278&gt;0,LN(H278),""),"")</f>
        <v>3.40119738166216</v>
      </c>
    </row>
    <row r="279" customFormat="false" ht="15" hidden="false" customHeight="true" outlineLevel="0" collapsed="false">
      <c r="A279" s="60" t="n">
        <v>4</v>
      </c>
      <c r="B279" s="60" t="n">
        <v>4</v>
      </c>
      <c r="C279" s="60" t="s">
        <v>248</v>
      </c>
      <c r="D279" s="60" t="s">
        <v>79</v>
      </c>
      <c r="E279" s="60" t="s">
        <v>245</v>
      </c>
      <c r="F279" s="61" t="n">
        <v>10.5</v>
      </c>
      <c r="G279" s="61" t="n">
        <v>10.5</v>
      </c>
      <c r="H279" s="60" t="n">
        <v>36</v>
      </c>
      <c r="I279" s="62" t="n">
        <f aca="false">IFERROR(F279*H279,"")</f>
        <v>378</v>
      </c>
      <c r="J279" s="60" t="n">
        <v>4.5</v>
      </c>
      <c r="K279" s="62" t="n">
        <f aca="false">IFERROR((F279-J279)*H279,"")</f>
        <v>216</v>
      </c>
      <c r="L279" s="63" t="n">
        <f aca="false">IFERROR(IF(F279&gt;0,LN(F279),""),"")</f>
        <v>2.35137525716348</v>
      </c>
      <c r="M279" s="63" t="n">
        <f aca="false">IFERROR(IF(H279&gt;0,LN(H279),""),"")</f>
        <v>3.58351893845611</v>
      </c>
    </row>
    <row r="280" customFormat="false" ht="15" hidden="false" customHeight="true" outlineLevel="0" collapsed="false">
      <c r="A280" s="60" t="n">
        <v>5</v>
      </c>
      <c r="B280" s="60" t="n">
        <v>5</v>
      </c>
      <c r="C280" s="60" t="s">
        <v>248</v>
      </c>
      <c r="D280" s="60" t="s">
        <v>79</v>
      </c>
      <c r="E280" s="60" t="s">
        <v>245</v>
      </c>
      <c r="F280" s="61" t="n">
        <v>10.5</v>
      </c>
      <c r="G280" s="61" t="n">
        <v>10.5</v>
      </c>
      <c r="H280" s="60" t="n">
        <v>35</v>
      </c>
      <c r="I280" s="62" t="n">
        <f aca="false">IFERROR(F280*H280,"")</f>
        <v>367.5</v>
      </c>
      <c r="J280" s="60" t="n">
        <v>4.5</v>
      </c>
      <c r="K280" s="62" t="n">
        <f aca="false">IFERROR((F280-J280)*H280,"")</f>
        <v>210</v>
      </c>
      <c r="L280" s="63" t="n">
        <f aca="false">IFERROR(IF(F280&gt;0,LN(F280),""),"")</f>
        <v>2.35137525716348</v>
      </c>
      <c r="M280" s="63" t="n">
        <f aca="false">IFERROR(IF(H280&gt;0,LN(H280),""),"")</f>
        <v>3.55534806148941</v>
      </c>
    </row>
    <row r="281" customFormat="false" ht="15" hidden="false" customHeight="true" outlineLevel="0" collapsed="false">
      <c r="A281" s="60" t="n">
        <v>6</v>
      </c>
      <c r="B281" s="60" t="n">
        <v>6</v>
      </c>
      <c r="C281" s="60" t="s">
        <v>248</v>
      </c>
      <c r="D281" s="60" t="s">
        <v>79</v>
      </c>
      <c r="E281" s="60" t="s">
        <v>245</v>
      </c>
      <c r="F281" s="61" t="n">
        <v>11.55</v>
      </c>
      <c r="G281" s="61" t="n">
        <v>10.5</v>
      </c>
      <c r="H281" s="60" t="n">
        <v>35</v>
      </c>
      <c r="I281" s="62" t="n">
        <f aca="false">IFERROR(F281*H281,"")</f>
        <v>404.25</v>
      </c>
      <c r="J281" s="60" t="n">
        <v>4.5</v>
      </c>
      <c r="K281" s="62" t="n">
        <f aca="false">IFERROR((F281-J281)*H281,"")</f>
        <v>246.75</v>
      </c>
      <c r="L281" s="63" t="n">
        <f aca="false">IFERROR(IF(F281&gt;0,LN(F281),""),"")</f>
        <v>2.4466854369678</v>
      </c>
      <c r="M281" s="63" t="n">
        <f aca="false">IFERROR(IF(H281&gt;0,LN(H281),""),"")</f>
        <v>3.55534806148941</v>
      </c>
    </row>
    <row r="282" customFormat="false" ht="15" hidden="false" customHeight="true" outlineLevel="0" collapsed="false">
      <c r="A282" s="60" t="n">
        <v>7</v>
      </c>
      <c r="B282" s="60" t="n">
        <v>7</v>
      </c>
      <c r="C282" s="60" t="s">
        <v>248</v>
      </c>
      <c r="D282" s="60" t="s">
        <v>79</v>
      </c>
      <c r="E282" s="60" t="s">
        <v>245</v>
      </c>
      <c r="F282" s="61" t="n">
        <v>10.5</v>
      </c>
      <c r="G282" s="61" t="n">
        <v>10.5</v>
      </c>
      <c r="H282" s="60" t="n">
        <v>36</v>
      </c>
      <c r="I282" s="62" t="n">
        <f aca="false">IFERROR(F282*H282,"")</f>
        <v>378</v>
      </c>
      <c r="J282" s="60" t="n">
        <v>4.5</v>
      </c>
      <c r="K282" s="62" t="n">
        <f aca="false">IFERROR((F282-J282)*H282,"")</f>
        <v>216</v>
      </c>
      <c r="L282" s="63" t="n">
        <f aca="false">IFERROR(IF(F282&gt;0,LN(F282),""),"")</f>
        <v>2.35137525716348</v>
      </c>
      <c r="M282" s="63" t="n">
        <f aca="false">IFERROR(IF(H282&gt;0,LN(H282),""),"")</f>
        <v>3.58351893845611</v>
      </c>
    </row>
    <row r="283" customFormat="false" ht="15" hidden="false" customHeight="true" outlineLevel="0" collapsed="false">
      <c r="A283" s="60" t="n">
        <v>8</v>
      </c>
      <c r="B283" s="60" t="n">
        <v>1</v>
      </c>
      <c r="C283" s="60" t="s">
        <v>248</v>
      </c>
      <c r="D283" s="60" t="s">
        <v>79</v>
      </c>
      <c r="E283" s="60" t="s">
        <v>245</v>
      </c>
      <c r="F283" s="61" t="n">
        <v>11.55</v>
      </c>
      <c r="G283" s="61" t="n">
        <v>10.5</v>
      </c>
      <c r="H283" s="60" t="n">
        <v>26</v>
      </c>
      <c r="I283" s="62" t="n">
        <f aca="false">IFERROR(F283*H283,"")</f>
        <v>300.3</v>
      </c>
      <c r="J283" s="60" t="n">
        <v>4.5</v>
      </c>
      <c r="K283" s="62" t="n">
        <f aca="false">IFERROR((F283-J283)*H283,"")</f>
        <v>183.3</v>
      </c>
      <c r="L283" s="63" t="n">
        <f aca="false">IFERROR(IF(F283&gt;0,LN(F283),""),"")</f>
        <v>2.4466854369678</v>
      </c>
      <c r="M283" s="63" t="n">
        <f aca="false">IFERROR(IF(H283&gt;0,LN(H283),""),"")</f>
        <v>3.25809653802148</v>
      </c>
    </row>
    <row r="284" customFormat="false" ht="15" hidden="false" customHeight="true" outlineLevel="0" collapsed="false">
      <c r="A284" s="60" t="n">
        <v>9</v>
      </c>
      <c r="B284" s="60" t="n">
        <v>2</v>
      </c>
      <c r="C284" s="60" t="s">
        <v>248</v>
      </c>
      <c r="D284" s="60" t="s">
        <v>79</v>
      </c>
      <c r="E284" s="60" t="s">
        <v>245</v>
      </c>
      <c r="F284" s="61" t="n">
        <v>9.97</v>
      </c>
      <c r="G284" s="61" t="n">
        <v>10.5</v>
      </c>
      <c r="H284" s="60" t="n">
        <v>37</v>
      </c>
      <c r="I284" s="62" t="n">
        <f aca="false">IFERROR(F284*H284,"")</f>
        <v>368.89</v>
      </c>
      <c r="J284" s="60" t="n">
        <v>4.5</v>
      </c>
      <c r="K284" s="62" t="n">
        <f aca="false">IFERROR((F284-J284)*H284,"")</f>
        <v>202.39</v>
      </c>
      <c r="L284" s="63" t="n">
        <f aca="false">IFERROR(IF(F284&gt;0,LN(F284),""),"")</f>
        <v>2.29958058397375</v>
      </c>
      <c r="M284" s="63" t="n">
        <f aca="false">IFERROR(IF(H284&gt;0,LN(H284),""),"")</f>
        <v>3.61091791264422</v>
      </c>
    </row>
    <row r="285" customFormat="false" ht="15" hidden="false" customHeight="true" outlineLevel="0" collapsed="false">
      <c r="A285" s="60" t="n">
        <v>10</v>
      </c>
      <c r="B285" s="60" t="n">
        <v>3</v>
      </c>
      <c r="C285" s="60" t="s">
        <v>248</v>
      </c>
      <c r="D285" s="60" t="s">
        <v>79</v>
      </c>
      <c r="E285" s="60" t="s">
        <v>245</v>
      </c>
      <c r="F285" s="61" t="n">
        <v>10.5</v>
      </c>
      <c r="G285" s="61" t="n">
        <v>10.5</v>
      </c>
      <c r="H285" s="60" t="n">
        <v>37</v>
      </c>
      <c r="I285" s="62" t="n">
        <f aca="false">IFERROR(F285*H285,"")</f>
        <v>388.5</v>
      </c>
      <c r="J285" s="60" t="n">
        <v>4.5</v>
      </c>
      <c r="K285" s="62" t="n">
        <f aca="false">IFERROR((F285-J285)*H285,"")</f>
        <v>222</v>
      </c>
      <c r="L285" s="63" t="n">
        <f aca="false">IFERROR(IF(F285&gt;0,LN(F285),""),"")</f>
        <v>2.35137525716348</v>
      </c>
      <c r="M285" s="63" t="n">
        <f aca="false">IFERROR(IF(H285&gt;0,LN(H285),""),"")</f>
        <v>3.61091791264422</v>
      </c>
    </row>
    <row r="286" customFormat="false" ht="15" hidden="false" customHeight="true" outlineLevel="0" collapsed="false">
      <c r="A286" s="60" t="n">
        <v>11</v>
      </c>
      <c r="B286" s="60" t="n">
        <v>4</v>
      </c>
      <c r="C286" s="60" t="s">
        <v>248</v>
      </c>
      <c r="D286" s="60" t="s">
        <v>79</v>
      </c>
      <c r="E286" s="60" t="s">
        <v>245</v>
      </c>
      <c r="F286" s="61" t="n">
        <v>9.97</v>
      </c>
      <c r="G286" s="61" t="n">
        <v>10.5</v>
      </c>
      <c r="H286" s="60" t="n">
        <v>37</v>
      </c>
      <c r="I286" s="62" t="n">
        <f aca="false">IFERROR(F286*H286,"")</f>
        <v>368.89</v>
      </c>
      <c r="J286" s="60" t="n">
        <v>4.5</v>
      </c>
      <c r="K286" s="62" t="n">
        <f aca="false">IFERROR((F286-J286)*H286,"")</f>
        <v>202.39</v>
      </c>
      <c r="L286" s="63" t="n">
        <f aca="false">IFERROR(IF(F286&gt;0,LN(F286),""),"")</f>
        <v>2.29958058397375</v>
      </c>
      <c r="M286" s="63" t="n">
        <f aca="false">IFERROR(IF(H286&gt;0,LN(H286),""),"")</f>
        <v>3.61091791264422</v>
      </c>
    </row>
    <row r="287" customFormat="false" ht="15" hidden="false" customHeight="true" outlineLevel="0" collapsed="false">
      <c r="A287" s="60" t="n">
        <v>12</v>
      </c>
      <c r="B287" s="60" t="n">
        <v>5</v>
      </c>
      <c r="C287" s="60" t="s">
        <v>248</v>
      </c>
      <c r="D287" s="60" t="s">
        <v>79</v>
      </c>
      <c r="E287" s="60" t="s">
        <v>245</v>
      </c>
      <c r="F287" s="61" t="n">
        <v>11.03</v>
      </c>
      <c r="G287" s="61" t="n">
        <v>10.5</v>
      </c>
      <c r="H287" s="60" t="n">
        <v>38</v>
      </c>
      <c r="I287" s="62" t="n">
        <f aca="false">IFERROR(F287*H287,"")</f>
        <v>419.14</v>
      </c>
      <c r="J287" s="60" t="n">
        <v>4.5</v>
      </c>
      <c r="K287" s="62" t="n">
        <f aca="false">IFERROR((F287-J287)*H287,"")</f>
        <v>248.14</v>
      </c>
      <c r="L287" s="63" t="n">
        <f aca="false">IFERROR(IF(F287&gt;0,LN(F287),""),"")</f>
        <v>2.40061883326541</v>
      </c>
      <c r="M287" s="63" t="n">
        <f aca="false">IFERROR(IF(H287&gt;0,LN(H287),""),"")</f>
        <v>3.63758615972639</v>
      </c>
    </row>
    <row r="288" customFormat="false" ht="15" hidden="false" customHeight="true" outlineLevel="0" collapsed="false">
      <c r="A288" s="60" t="n">
        <v>13</v>
      </c>
      <c r="B288" s="60" t="n">
        <v>6</v>
      </c>
      <c r="C288" s="60" t="s">
        <v>248</v>
      </c>
      <c r="D288" s="60" t="s">
        <v>79</v>
      </c>
      <c r="E288" s="60" t="s">
        <v>245</v>
      </c>
      <c r="F288" s="61" t="n">
        <v>9.45</v>
      </c>
      <c r="G288" s="61" t="n">
        <v>10.5</v>
      </c>
      <c r="H288" s="60" t="n">
        <v>43</v>
      </c>
      <c r="I288" s="62" t="n">
        <f aca="false">IFERROR(F288*H288,"")</f>
        <v>406.35</v>
      </c>
      <c r="J288" s="60" t="n">
        <v>4.5</v>
      </c>
      <c r="K288" s="62" t="n">
        <f aca="false">IFERROR((F288-J288)*H288,"")</f>
        <v>212.85</v>
      </c>
      <c r="L288" s="63" t="n">
        <f aca="false">IFERROR(IF(F288&gt;0,LN(F288),""),"")</f>
        <v>2.24601474150565</v>
      </c>
      <c r="M288" s="63" t="n">
        <f aca="false">IFERROR(IF(H288&gt;0,LN(H288),""),"")</f>
        <v>3.76120011569356</v>
      </c>
    </row>
    <row r="289" customFormat="false" ht="15" hidden="false" customHeight="true" outlineLevel="0" collapsed="false">
      <c r="A289" s="60" t="n">
        <v>14</v>
      </c>
      <c r="B289" s="60" t="n">
        <v>7</v>
      </c>
      <c r="C289" s="60" t="s">
        <v>248</v>
      </c>
      <c r="D289" s="60" t="s">
        <v>79</v>
      </c>
      <c r="E289" s="60" t="s">
        <v>245</v>
      </c>
      <c r="F289" s="61" t="n">
        <v>11.55</v>
      </c>
      <c r="G289" s="61" t="n">
        <v>10.5</v>
      </c>
      <c r="H289" s="60" t="n">
        <v>34</v>
      </c>
      <c r="I289" s="62" t="n">
        <f aca="false">IFERROR(F289*H289,"")</f>
        <v>392.7</v>
      </c>
      <c r="J289" s="60" t="n">
        <v>4.5</v>
      </c>
      <c r="K289" s="62" t="n">
        <f aca="false">IFERROR((F289-J289)*H289,"")</f>
        <v>239.7</v>
      </c>
      <c r="L289" s="63" t="n">
        <f aca="false">IFERROR(IF(F289&gt;0,LN(F289),""),"")</f>
        <v>2.4466854369678</v>
      </c>
      <c r="M289" s="63" t="n">
        <f aca="false">IFERROR(IF(H289&gt;0,LN(H289),""),"")</f>
        <v>3.52636052461616</v>
      </c>
    </row>
    <row r="290" customFormat="false" ht="15" hidden="false" customHeight="true" outlineLevel="0" collapsed="false">
      <c r="A290" s="60" t="n">
        <v>15</v>
      </c>
      <c r="B290" s="60" t="n">
        <v>1</v>
      </c>
      <c r="C290" s="60" t="s">
        <v>248</v>
      </c>
      <c r="D290" s="60" t="s">
        <v>79</v>
      </c>
      <c r="E290" s="60" t="s">
        <v>245</v>
      </c>
      <c r="F290" s="61" t="n">
        <v>9.97</v>
      </c>
      <c r="G290" s="61" t="n">
        <v>10.5</v>
      </c>
      <c r="H290" s="60" t="n">
        <v>37</v>
      </c>
      <c r="I290" s="62" t="n">
        <f aca="false">IFERROR(F290*H290,"")</f>
        <v>368.89</v>
      </c>
      <c r="J290" s="60" t="n">
        <v>4.5</v>
      </c>
      <c r="K290" s="62" t="n">
        <f aca="false">IFERROR((F290-J290)*H290,"")</f>
        <v>202.39</v>
      </c>
      <c r="L290" s="63" t="n">
        <f aca="false">IFERROR(IF(F290&gt;0,LN(F290),""),"")</f>
        <v>2.29958058397375</v>
      </c>
      <c r="M290" s="63" t="n">
        <f aca="false">IFERROR(IF(H290&gt;0,LN(H290),""),"")</f>
        <v>3.61091791264422</v>
      </c>
    </row>
    <row r="291" customFormat="false" ht="15" hidden="false" customHeight="true" outlineLevel="0" collapsed="false">
      <c r="A291" s="60" t="n">
        <v>16</v>
      </c>
      <c r="B291" s="60" t="n">
        <v>2</v>
      </c>
      <c r="C291" s="60" t="s">
        <v>248</v>
      </c>
      <c r="D291" s="60" t="s">
        <v>79</v>
      </c>
      <c r="E291" s="60" t="s">
        <v>245</v>
      </c>
      <c r="F291" s="61" t="n">
        <v>10.5</v>
      </c>
      <c r="G291" s="61" t="n">
        <v>10.5</v>
      </c>
      <c r="H291" s="60" t="n">
        <v>33</v>
      </c>
      <c r="I291" s="62" t="n">
        <f aca="false">IFERROR(F291*H291,"")</f>
        <v>346.5</v>
      </c>
      <c r="J291" s="60" t="n">
        <v>4.5</v>
      </c>
      <c r="K291" s="62" t="n">
        <f aca="false">IFERROR((F291-J291)*H291,"")</f>
        <v>198</v>
      </c>
      <c r="L291" s="63" t="n">
        <f aca="false">IFERROR(IF(F291&gt;0,LN(F291),""),"")</f>
        <v>2.35137525716348</v>
      </c>
      <c r="M291" s="63" t="n">
        <f aca="false">IFERROR(IF(H291&gt;0,LN(H291),""),"")</f>
        <v>3.49650756146648</v>
      </c>
    </row>
    <row r="292" customFormat="false" ht="15" hidden="false" customHeight="true" outlineLevel="0" collapsed="false">
      <c r="A292" s="60" t="n">
        <v>17</v>
      </c>
      <c r="B292" s="60" t="n">
        <v>3</v>
      </c>
      <c r="C292" s="60" t="s">
        <v>248</v>
      </c>
      <c r="D292" s="60" t="s">
        <v>79</v>
      </c>
      <c r="E292" s="60" t="s">
        <v>245</v>
      </c>
      <c r="F292" s="61" t="n">
        <v>10.5</v>
      </c>
      <c r="G292" s="61" t="n">
        <v>10.5</v>
      </c>
      <c r="H292" s="60" t="n">
        <v>30</v>
      </c>
      <c r="I292" s="62" t="n">
        <f aca="false">IFERROR(F292*H292,"")</f>
        <v>315</v>
      </c>
      <c r="J292" s="60" t="n">
        <v>4.5</v>
      </c>
      <c r="K292" s="62" t="n">
        <f aca="false">IFERROR((F292-J292)*H292,"")</f>
        <v>180</v>
      </c>
      <c r="L292" s="63" t="n">
        <f aca="false">IFERROR(IF(F292&gt;0,LN(F292),""),"")</f>
        <v>2.35137525716348</v>
      </c>
      <c r="M292" s="63" t="n">
        <f aca="false">IFERROR(IF(H292&gt;0,LN(H292),""),"")</f>
        <v>3.40119738166216</v>
      </c>
    </row>
    <row r="293" customFormat="false" ht="15" hidden="false" customHeight="true" outlineLevel="0" collapsed="false">
      <c r="A293" s="60" t="n">
        <v>18</v>
      </c>
      <c r="B293" s="60" t="n">
        <v>4</v>
      </c>
      <c r="C293" s="60" t="s">
        <v>248</v>
      </c>
      <c r="D293" s="60" t="s">
        <v>79</v>
      </c>
      <c r="E293" s="60" t="s">
        <v>245</v>
      </c>
      <c r="F293" s="61" t="n">
        <v>9.97</v>
      </c>
      <c r="G293" s="61" t="n">
        <v>10.5</v>
      </c>
      <c r="H293" s="60" t="n">
        <v>36</v>
      </c>
      <c r="I293" s="62" t="n">
        <f aca="false">IFERROR(F293*H293,"")</f>
        <v>358.92</v>
      </c>
      <c r="J293" s="60" t="n">
        <v>4.5</v>
      </c>
      <c r="K293" s="62" t="n">
        <f aca="false">IFERROR((F293-J293)*H293,"")</f>
        <v>196.92</v>
      </c>
      <c r="L293" s="63" t="n">
        <f aca="false">IFERROR(IF(F293&gt;0,LN(F293),""),"")</f>
        <v>2.29958058397375</v>
      </c>
      <c r="M293" s="63" t="n">
        <f aca="false">IFERROR(IF(H293&gt;0,LN(H293),""),"")</f>
        <v>3.58351893845611</v>
      </c>
    </row>
    <row r="294" customFormat="false" ht="15" hidden="false" customHeight="true" outlineLevel="0" collapsed="false">
      <c r="A294" s="60" t="n">
        <v>19</v>
      </c>
      <c r="B294" s="60" t="n">
        <v>5</v>
      </c>
      <c r="C294" s="60" t="s">
        <v>248</v>
      </c>
      <c r="D294" s="60" t="s">
        <v>79</v>
      </c>
      <c r="E294" s="60" t="s">
        <v>245</v>
      </c>
      <c r="F294" s="61" t="n">
        <v>10.5</v>
      </c>
      <c r="G294" s="61" t="n">
        <v>10.5</v>
      </c>
      <c r="H294" s="60" t="n">
        <v>29</v>
      </c>
      <c r="I294" s="62" t="n">
        <f aca="false">IFERROR(F294*H294,"")</f>
        <v>304.5</v>
      </c>
      <c r="J294" s="60" t="n">
        <v>4.5</v>
      </c>
      <c r="K294" s="62" t="n">
        <f aca="false">IFERROR((F294-J294)*H294,"")</f>
        <v>174</v>
      </c>
      <c r="L294" s="63" t="n">
        <f aca="false">IFERROR(IF(F294&gt;0,LN(F294),""),"")</f>
        <v>2.35137525716348</v>
      </c>
      <c r="M294" s="63" t="n">
        <f aca="false">IFERROR(IF(H294&gt;0,LN(H294),""),"")</f>
        <v>3.36729582998647</v>
      </c>
    </row>
    <row r="295" customFormat="false" ht="15" hidden="false" customHeight="true" outlineLevel="0" collapsed="false">
      <c r="A295" s="60" t="n">
        <v>20</v>
      </c>
      <c r="B295" s="60" t="n">
        <v>6</v>
      </c>
      <c r="C295" s="60" t="s">
        <v>248</v>
      </c>
      <c r="D295" s="60" t="s">
        <v>79</v>
      </c>
      <c r="E295" s="60" t="s">
        <v>245</v>
      </c>
      <c r="F295" s="61" t="n">
        <v>11.55</v>
      </c>
      <c r="G295" s="61" t="n">
        <v>10.5</v>
      </c>
      <c r="H295" s="60" t="n">
        <v>37</v>
      </c>
      <c r="I295" s="62" t="n">
        <f aca="false">IFERROR(F295*H295,"")</f>
        <v>427.35</v>
      </c>
      <c r="J295" s="60" t="n">
        <v>4.5</v>
      </c>
      <c r="K295" s="62" t="n">
        <f aca="false">IFERROR((F295-J295)*H295,"")</f>
        <v>260.85</v>
      </c>
      <c r="L295" s="63" t="n">
        <f aca="false">IFERROR(IF(F295&gt;0,LN(F295),""),"")</f>
        <v>2.4466854369678</v>
      </c>
      <c r="M295" s="63" t="n">
        <f aca="false">IFERROR(IF(H295&gt;0,LN(H295),""),"")</f>
        <v>3.61091791264422</v>
      </c>
    </row>
    <row r="296" customFormat="false" ht="15" hidden="false" customHeight="true" outlineLevel="0" collapsed="false">
      <c r="A296" s="60" t="n">
        <v>21</v>
      </c>
      <c r="B296" s="60" t="n">
        <v>7</v>
      </c>
      <c r="C296" s="60" t="s">
        <v>248</v>
      </c>
      <c r="D296" s="60" t="s">
        <v>79</v>
      </c>
      <c r="E296" s="60" t="s">
        <v>245</v>
      </c>
      <c r="F296" s="61" t="n">
        <v>9.45</v>
      </c>
      <c r="G296" s="61" t="n">
        <v>10.5</v>
      </c>
      <c r="H296" s="60" t="n">
        <v>47</v>
      </c>
      <c r="I296" s="62" t="n">
        <f aca="false">IFERROR(F296*H296,"")</f>
        <v>444.15</v>
      </c>
      <c r="J296" s="60" t="n">
        <v>4.5</v>
      </c>
      <c r="K296" s="62" t="n">
        <f aca="false">IFERROR((F296-J296)*H296,"")</f>
        <v>232.65</v>
      </c>
      <c r="L296" s="63" t="n">
        <f aca="false">IFERROR(IF(F296&gt;0,LN(F296),""),"")</f>
        <v>2.24601474150565</v>
      </c>
      <c r="M296" s="63" t="n">
        <f aca="false">IFERROR(IF(H296&gt;0,LN(H296),""),"")</f>
        <v>3.85014760171006</v>
      </c>
    </row>
    <row r="297" customFormat="false" ht="15" hidden="false" customHeight="true" outlineLevel="0" collapsed="false">
      <c r="A297" s="60" t="n">
        <v>22</v>
      </c>
      <c r="B297" s="60" t="n">
        <v>1</v>
      </c>
      <c r="C297" s="60" t="s">
        <v>248</v>
      </c>
      <c r="D297" s="60" t="s">
        <v>79</v>
      </c>
      <c r="E297" s="60" t="s">
        <v>245</v>
      </c>
      <c r="F297" s="61" t="n">
        <v>10.5</v>
      </c>
      <c r="G297" s="61" t="n">
        <v>10.5</v>
      </c>
      <c r="H297" s="60" t="n">
        <v>29</v>
      </c>
      <c r="I297" s="62" t="n">
        <f aca="false">IFERROR(F297*H297,"")</f>
        <v>304.5</v>
      </c>
      <c r="J297" s="60" t="n">
        <v>4.5</v>
      </c>
      <c r="K297" s="62" t="n">
        <f aca="false">IFERROR((F297-J297)*H297,"")</f>
        <v>174</v>
      </c>
      <c r="L297" s="63" t="n">
        <f aca="false">IFERROR(IF(F297&gt;0,LN(F297),""),"")</f>
        <v>2.35137525716348</v>
      </c>
      <c r="M297" s="63" t="n">
        <f aca="false">IFERROR(IF(H297&gt;0,LN(H297),""),"")</f>
        <v>3.36729582998647</v>
      </c>
    </row>
    <row r="298" customFormat="false" ht="15" hidden="false" customHeight="true" outlineLevel="0" collapsed="false">
      <c r="A298" s="60" t="n">
        <v>23</v>
      </c>
      <c r="B298" s="60" t="n">
        <v>2</v>
      </c>
      <c r="C298" s="60" t="s">
        <v>248</v>
      </c>
      <c r="D298" s="60" t="s">
        <v>79</v>
      </c>
      <c r="E298" s="60" t="s">
        <v>245</v>
      </c>
      <c r="F298" s="61" t="n">
        <v>10.5</v>
      </c>
      <c r="G298" s="61" t="n">
        <v>10.5</v>
      </c>
      <c r="H298" s="60" t="n">
        <v>40</v>
      </c>
      <c r="I298" s="62" t="n">
        <f aca="false">IFERROR(F298*H298,"")</f>
        <v>420</v>
      </c>
      <c r="J298" s="60" t="n">
        <v>4.5</v>
      </c>
      <c r="K298" s="62" t="n">
        <f aca="false">IFERROR((F298-J298)*H298,"")</f>
        <v>240</v>
      </c>
      <c r="L298" s="63" t="n">
        <f aca="false">IFERROR(IF(F298&gt;0,LN(F298),""),"")</f>
        <v>2.35137525716348</v>
      </c>
      <c r="M298" s="63" t="n">
        <f aca="false">IFERROR(IF(H298&gt;0,LN(H298),""),"")</f>
        <v>3.68887945411394</v>
      </c>
    </row>
    <row r="299" customFormat="false" ht="15" hidden="false" customHeight="true" outlineLevel="0" collapsed="false">
      <c r="A299" s="60" t="n">
        <v>24</v>
      </c>
      <c r="B299" s="60" t="n">
        <v>3</v>
      </c>
      <c r="C299" s="60" t="s">
        <v>248</v>
      </c>
      <c r="D299" s="60" t="s">
        <v>79</v>
      </c>
      <c r="E299" s="60" t="s">
        <v>245</v>
      </c>
      <c r="F299" s="61" t="n">
        <v>10.5</v>
      </c>
      <c r="G299" s="61" t="n">
        <v>10.5</v>
      </c>
      <c r="H299" s="60" t="n">
        <v>35</v>
      </c>
      <c r="I299" s="62" t="n">
        <f aca="false">IFERROR(F299*H299,"")</f>
        <v>367.5</v>
      </c>
      <c r="J299" s="60" t="n">
        <v>4.5</v>
      </c>
      <c r="K299" s="62" t="n">
        <f aca="false">IFERROR((F299-J299)*H299,"")</f>
        <v>210</v>
      </c>
      <c r="L299" s="63" t="n">
        <f aca="false">IFERROR(IF(F299&gt;0,LN(F299),""),"")</f>
        <v>2.35137525716348</v>
      </c>
      <c r="M299" s="63" t="n">
        <f aca="false">IFERROR(IF(H299&gt;0,LN(H299),""),"")</f>
        <v>3.55534806148941</v>
      </c>
    </row>
    <row r="300" customFormat="false" ht="15" hidden="false" customHeight="true" outlineLevel="0" collapsed="false">
      <c r="A300" s="60" t="n">
        <v>25</v>
      </c>
      <c r="B300" s="60" t="n">
        <v>4</v>
      </c>
      <c r="C300" s="60" t="s">
        <v>248</v>
      </c>
      <c r="D300" s="60" t="s">
        <v>79</v>
      </c>
      <c r="E300" s="60" t="s">
        <v>245</v>
      </c>
      <c r="F300" s="61" t="n">
        <v>10.5</v>
      </c>
      <c r="G300" s="61" t="n">
        <v>10.5</v>
      </c>
      <c r="H300" s="60" t="n">
        <v>28</v>
      </c>
      <c r="I300" s="62" t="n">
        <f aca="false">IFERROR(F300*H300,"")</f>
        <v>294</v>
      </c>
      <c r="J300" s="60" t="n">
        <v>4.5</v>
      </c>
      <c r="K300" s="62" t="n">
        <f aca="false">IFERROR((F300-J300)*H300,"")</f>
        <v>168</v>
      </c>
      <c r="L300" s="63" t="n">
        <f aca="false">IFERROR(IF(F300&gt;0,LN(F300),""),"")</f>
        <v>2.35137525716348</v>
      </c>
      <c r="M300" s="63" t="n">
        <f aca="false">IFERROR(IF(H300&gt;0,LN(H300),""),"")</f>
        <v>3.3322045101752</v>
      </c>
    </row>
    <row r="301" customFormat="false" ht="15" hidden="false" customHeight="true" outlineLevel="0" collapsed="false">
      <c r="A301" s="60" t="n">
        <v>26</v>
      </c>
      <c r="B301" s="60" t="n">
        <v>5</v>
      </c>
      <c r="C301" s="60" t="s">
        <v>248</v>
      </c>
      <c r="D301" s="60" t="s">
        <v>79</v>
      </c>
      <c r="E301" s="60" t="s">
        <v>245</v>
      </c>
      <c r="F301" s="61" t="n">
        <v>11.03</v>
      </c>
      <c r="G301" s="61" t="n">
        <v>10.5</v>
      </c>
      <c r="H301" s="60" t="n">
        <v>31</v>
      </c>
      <c r="I301" s="62" t="n">
        <f aca="false">IFERROR(F301*H301,"")</f>
        <v>341.93</v>
      </c>
      <c r="J301" s="60" t="n">
        <v>4.5</v>
      </c>
      <c r="K301" s="62" t="n">
        <f aca="false">IFERROR((F301-J301)*H301,"")</f>
        <v>202.43</v>
      </c>
      <c r="L301" s="63" t="n">
        <f aca="false">IFERROR(IF(F301&gt;0,LN(F301),""),"")</f>
        <v>2.40061883326541</v>
      </c>
      <c r="M301" s="63" t="n">
        <f aca="false">IFERROR(IF(H301&gt;0,LN(H301),""),"")</f>
        <v>3.43398720448515</v>
      </c>
    </row>
    <row r="302" customFormat="false" ht="15" hidden="false" customHeight="true" outlineLevel="0" collapsed="false">
      <c r="A302" s="60" t="n">
        <v>27</v>
      </c>
      <c r="B302" s="60" t="n">
        <v>6</v>
      </c>
      <c r="C302" s="60" t="s">
        <v>248</v>
      </c>
      <c r="D302" s="60" t="s">
        <v>79</v>
      </c>
      <c r="E302" s="60" t="s">
        <v>245</v>
      </c>
      <c r="F302" s="61" t="n">
        <v>9.97</v>
      </c>
      <c r="G302" s="61" t="n">
        <v>10.5</v>
      </c>
      <c r="H302" s="60" t="n">
        <v>33</v>
      </c>
      <c r="I302" s="62" t="n">
        <f aca="false">IFERROR(F302*H302,"")</f>
        <v>329.01</v>
      </c>
      <c r="J302" s="60" t="n">
        <v>4.5</v>
      </c>
      <c r="K302" s="62" t="n">
        <f aca="false">IFERROR((F302-J302)*H302,"")</f>
        <v>180.51</v>
      </c>
      <c r="L302" s="63" t="n">
        <f aca="false">IFERROR(IF(F302&gt;0,LN(F302),""),"")</f>
        <v>2.29958058397375</v>
      </c>
      <c r="M302" s="63" t="n">
        <f aca="false">IFERROR(IF(H302&gt;0,LN(H302),""),"")</f>
        <v>3.49650756146648</v>
      </c>
    </row>
    <row r="303" customFormat="false" ht="15" hidden="false" customHeight="true" outlineLevel="0" collapsed="false">
      <c r="A303" s="60" t="n">
        <v>28</v>
      </c>
      <c r="B303" s="60" t="n">
        <v>7</v>
      </c>
      <c r="C303" s="60" t="s">
        <v>248</v>
      </c>
      <c r="D303" s="60" t="s">
        <v>79</v>
      </c>
      <c r="E303" s="60" t="s">
        <v>245</v>
      </c>
      <c r="F303" s="61" t="n">
        <v>10.5</v>
      </c>
      <c r="G303" s="61" t="n">
        <v>10.5</v>
      </c>
      <c r="H303" s="60" t="n">
        <v>35</v>
      </c>
      <c r="I303" s="62" t="n">
        <f aca="false">IFERROR(F303*H303,"")</f>
        <v>367.5</v>
      </c>
      <c r="J303" s="60" t="n">
        <v>4.5</v>
      </c>
      <c r="K303" s="62" t="n">
        <f aca="false">IFERROR((F303-J303)*H303,"")</f>
        <v>210</v>
      </c>
      <c r="L303" s="63" t="n">
        <f aca="false">IFERROR(IF(F303&gt;0,LN(F303),""),"")</f>
        <v>2.35137525716348</v>
      </c>
      <c r="M303" s="63" t="n">
        <f aca="false">IFERROR(IF(H303&gt;0,LN(H303),""),"")</f>
        <v>3.55534806148941</v>
      </c>
    </row>
    <row r="304" customFormat="false" ht="15" hidden="false" customHeight="true" outlineLevel="0" collapsed="false">
      <c r="A304" s="60" t="n">
        <v>29</v>
      </c>
      <c r="B304" s="60" t="n">
        <v>1</v>
      </c>
      <c r="C304" s="60" t="s">
        <v>248</v>
      </c>
      <c r="D304" s="60" t="s">
        <v>79</v>
      </c>
      <c r="E304" s="60" t="s">
        <v>245</v>
      </c>
      <c r="F304" s="61" t="n">
        <v>9.45</v>
      </c>
      <c r="G304" s="61" t="n">
        <v>10.5</v>
      </c>
      <c r="H304" s="60" t="n">
        <v>33</v>
      </c>
      <c r="I304" s="62" t="n">
        <f aca="false">IFERROR(F304*H304,"")</f>
        <v>311.85</v>
      </c>
      <c r="J304" s="60" t="n">
        <v>4.5</v>
      </c>
      <c r="K304" s="62" t="n">
        <f aca="false">IFERROR((F304-J304)*H304,"")</f>
        <v>163.35</v>
      </c>
      <c r="L304" s="63" t="n">
        <f aca="false">IFERROR(IF(F304&gt;0,LN(F304),""),"")</f>
        <v>2.24601474150565</v>
      </c>
      <c r="M304" s="63" t="n">
        <f aca="false">IFERROR(IF(H304&gt;0,LN(H304),""),"")</f>
        <v>3.49650756146648</v>
      </c>
    </row>
    <row r="305" customFormat="false" ht="15" hidden="false" customHeight="true" outlineLevel="0" collapsed="false">
      <c r="A305" s="60" t="n">
        <v>30</v>
      </c>
      <c r="B305" s="60" t="n">
        <v>2</v>
      </c>
      <c r="C305" s="60" t="s">
        <v>248</v>
      </c>
      <c r="D305" s="60" t="s">
        <v>79</v>
      </c>
      <c r="E305" s="60" t="s">
        <v>245</v>
      </c>
      <c r="F305" s="61" t="n">
        <v>10.5</v>
      </c>
      <c r="G305" s="61" t="n">
        <v>10.5</v>
      </c>
      <c r="H305" s="60" t="n">
        <v>40</v>
      </c>
      <c r="I305" s="62" t="n">
        <f aca="false">IFERROR(F305*H305,"")</f>
        <v>420</v>
      </c>
      <c r="J305" s="60" t="n">
        <v>4.5</v>
      </c>
      <c r="K305" s="62" t="n">
        <f aca="false">IFERROR((F305-J305)*H305,"")</f>
        <v>240</v>
      </c>
      <c r="L305" s="63" t="n">
        <f aca="false">IFERROR(IF(F305&gt;0,LN(F305),""),"")</f>
        <v>2.35137525716348</v>
      </c>
      <c r="M305" s="63" t="n">
        <f aca="false">IFERROR(IF(H305&gt;0,LN(H305),""),"")</f>
        <v>3.68887945411394</v>
      </c>
    </row>
    <row r="306" customFormat="false" ht="15" hidden="false" customHeight="true" outlineLevel="0" collapsed="false">
      <c r="A306" s="60" t="n">
        <v>31</v>
      </c>
      <c r="B306" s="60" t="n">
        <v>3</v>
      </c>
      <c r="C306" s="60" t="s">
        <v>248</v>
      </c>
      <c r="D306" s="60" t="s">
        <v>79</v>
      </c>
      <c r="E306" s="60" t="s">
        <v>245</v>
      </c>
      <c r="F306" s="61" t="n">
        <v>11.55</v>
      </c>
      <c r="G306" s="61" t="n">
        <v>10.5</v>
      </c>
      <c r="H306" s="60" t="n">
        <v>34</v>
      </c>
      <c r="I306" s="62" t="n">
        <f aca="false">IFERROR(F306*H306,"")</f>
        <v>392.7</v>
      </c>
      <c r="J306" s="60" t="n">
        <v>4.5</v>
      </c>
      <c r="K306" s="62" t="n">
        <f aca="false">IFERROR((F306-J306)*H306,"")</f>
        <v>239.7</v>
      </c>
      <c r="L306" s="63" t="n">
        <f aca="false">IFERROR(IF(F306&gt;0,LN(F306),""),"")</f>
        <v>2.4466854369678</v>
      </c>
      <c r="M306" s="63" t="n">
        <f aca="false">IFERROR(IF(H306&gt;0,LN(H306),""),"")</f>
        <v>3.52636052461616</v>
      </c>
    </row>
    <row r="307" customFormat="false" ht="15" hidden="false" customHeight="true" outlineLevel="0" collapsed="false">
      <c r="A307" s="60" t="n">
        <v>32</v>
      </c>
      <c r="B307" s="60" t="n">
        <v>4</v>
      </c>
      <c r="C307" s="60" t="s">
        <v>248</v>
      </c>
      <c r="D307" s="60" t="s">
        <v>79</v>
      </c>
      <c r="E307" s="60" t="s">
        <v>245</v>
      </c>
      <c r="F307" s="61" t="n">
        <v>9.97</v>
      </c>
      <c r="G307" s="61" t="n">
        <v>10.5</v>
      </c>
      <c r="H307" s="60" t="n">
        <v>43</v>
      </c>
      <c r="I307" s="62" t="n">
        <f aca="false">IFERROR(F307*H307,"")</f>
        <v>428.71</v>
      </c>
      <c r="J307" s="60" t="n">
        <v>4.5</v>
      </c>
      <c r="K307" s="62" t="n">
        <f aca="false">IFERROR((F307-J307)*H307,"")</f>
        <v>235.21</v>
      </c>
      <c r="L307" s="63" t="n">
        <f aca="false">IFERROR(IF(F307&gt;0,LN(F307),""),"")</f>
        <v>2.29958058397375</v>
      </c>
      <c r="M307" s="63" t="n">
        <f aca="false">IFERROR(IF(H307&gt;0,LN(H307),""),"")</f>
        <v>3.76120011569356</v>
      </c>
    </row>
    <row r="308" customFormat="false" ht="15" hidden="false" customHeight="true" outlineLevel="0" collapsed="false">
      <c r="A308" s="60" t="n">
        <v>33</v>
      </c>
      <c r="B308" s="60" t="n">
        <v>5</v>
      </c>
      <c r="C308" s="60" t="s">
        <v>248</v>
      </c>
      <c r="D308" s="60" t="s">
        <v>79</v>
      </c>
      <c r="E308" s="60" t="s">
        <v>245</v>
      </c>
      <c r="F308" s="61" t="n">
        <v>11.03</v>
      </c>
      <c r="G308" s="61" t="n">
        <v>10.5</v>
      </c>
      <c r="H308" s="60" t="n">
        <v>24</v>
      </c>
      <c r="I308" s="62" t="n">
        <f aca="false">IFERROR(F308*H308,"")</f>
        <v>264.72</v>
      </c>
      <c r="J308" s="60" t="n">
        <v>4.5</v>
      </c>
      <c r="K308" s="62" t="n">
        <f aca="false">IFERROR((F308-J308)*H308,"")</f>
        <v>156.72</v>
      </c>
      <c r="L308" s="63" t="n">
        <f aca="false">IFERROR(IF(F308&gt;0,LN(F308),""),"")</f>
        <v>2.40061883326541</v>
      </c>
      <c r="M308" s="63" t="n">
        <f aca="false">IFERROR(IF(H308&gt;0,LN(H308),""),"")</f>
        <v>3.17805383034795</v>
      </c>
    </row>
    <row r="309" customFormat="false" ht="15" hidden="false" customHeight="true" outlineLevel="0" collapsed="false">
      <c r="A309" s="60" t="n">
        <v>34</v>
      </c>
      <c r="B309" s="60" t="n">
        <v>6</v>
      </c>
      <c r="C309" s="60" t="s">
        <v>248</v>
      </c>
      <c r="D309" s="60" t="s">
        <v>79</v>
      </c>
      <c r="E309" s="60" t="s">
        <v>245</v>
      </c>
      <c r="F309" s="61" t="n">
        <v>11.03</v>
      </c>
      <c r="G309" s="61" t="n">
        <v>10.5</v>
      </c>
      <c r="H309" s="60" t="n">
        <v>31</v>
      </c>
      <c r="I309" s="62" t="n">
        <f aca="false">IFERROR(F309*H309,"")</f>
        <v>341.93</v>
      </c>
      <c r="J309" s="60" t="n">
        <v>4.5</v>
      </c>
      <c r="K309" s="62" t="n">
        <f aca="false">IFERROR((F309-J309)*H309,"")</f>
        <v>202.43</v>
      </c>
      <c r="L309" s="63" t="n">
        <f aca="false">IFERROR(IF(F309&gt;0,LN(F309),""),"")</f>
        <v>2.40061883326541</v>
      </c>
      <c r="M309" s="63" t="n">
        <f aca="false">IFERROR(IF(H309&gt;0,LN(H309),""),"")</f>
        <v>3.43398720448515</v>
      </c>
    </row>
    <row r="310" customFormat="false" ht="15" hidden="false" customHeight="true" outlineLevel="0" collapsed="false">
      <c r="A310" s="60" t="n">
        <v>35</v>
      </c>
      <c r="B310" s="60" t="n">
        <v>7</v>
      </c>
      <c r="C310" s="60" t="s">
        <v>248</v>
      </c>
      <c r="D310" s="60" t="s">
        <v>79</v>
      </c>
      <c r="E310" s="60" t="s">
        <v>245</v>
      </c>
      <c r="F310" s="61" t="n">
        <v>11.03</v>
      </c>
      <c r="G310" s="61" t="n">
        <v>10.5</v>
      </c>
      <c r="H310" s="60" t="n">
        <v>32</v>
      </c>
      <c r="I310" s="62" t="n">
        <f aca="false">IFERROR(F310*H310,"")</f>
        <v>352.96</v>
      </c>
      <c r="J310" s="60" t="n">
        <v>4.5</v>
      </c>
      <c r="K310" s="62" t="n">
        <f aca="false">IFERROR((F310-J310)*H310,"")</f>
        <v>208.96</v>
      </c>
      <c r="L310" s="63" t="n">
        <f aca="false">IFERROR(IF(F310&gt;0,LN(F310),""),"")</f>
        <v>2.40061883326541</v>
      </c>
      <c r="M310" s="63" t="n">
        <f aca="false">IFERROR(IF(H310&gt;0,LN(H310),""),"")</f>
        <v>3.46573590279973</v>
      </c>
    </row>
    <row r="311" customFormat="false" ht="15" hidden="false" customHeight="true" outlineLevel="0" collapsed="false">
      <c r="A311" s="60" t="n">
        <v>36</v>
      </c>
      <c r="B311" s="60" t="n">
        <v>1</v>
      </c>
      <c r="C311" s="60" t="s">
        <v>248</v>
      </c>
      <c r="D311" s="60" t="s">
        <v>79</v>
      </c>
      <c r="E311" s="60" t="s">
        <v>245</v>
      </c>
      <c r="F311" s="61" t="n">
        <v>10.5</v>
      </c>
      <c r="G311" s="61" t="n">
        <v>10.5</v>
      </c>
      <c r="H311" s="60" t="n">
        <v>33</v>
      </c>
      <c r="I311" s="62" t="n">
        <f aca="false">IFERROR(F311*H311,"")</f>
        <v>346.5</v>
      </c>
      <c r="J311" s="60" t="n">
        <v>4.5</v>
      </c>
      <c r="K311" s="62" t="n">
        <f aca="false">IFERROR((F311-J311)*H311,"")</f>
        <v>198</v>
      </c>
      <c r="L311" s="63" t="n">
        <f aca="false">IFERROR(IF(F311&gt;0,LN(F311),""),"")</f>
        <v>2.35137525716348</v>
      </c>
      <c r="M311" s="63" t="n">
        <f aca="false">IFERROR(IF(H311&gt;0,LN(H311),""),"")</f>
        <v>3.49650756146648</v>
      </c>
    </row>
    <row r="312" customFormat="false" ht="15" hidden="false" customHeight="true" outlineLevel="0" collapsed="false">
      <c r="A312" s="60" t="n">
        <v>37</v>
      </c>
      <c r="B312" s="60" t="n">
        <v>2</v>
      </c>
      <c r="C312" s="60" t="s">
        <v>248</v>
      </c>
      <c r="D312" s="60" t="s">
        <v>79</v>
      </c>
      <c r="E312" s="60" t="s">
        <v>245</v>
      </c>
      <c r="F312" s="61" t="n">
        <v>9.97</v>
      </c>
      <c r="G312" s="61" t="n">
        <v>10.5</v>
      </c>
      <c r="H312" s="60" t="n">
        <v>40</v>
      </c>
      <c r="I312" s="62" t="n">
        <f aca="false">IFERROR(F312*H312,"")</f>
        <v>398.8</v>
      </c>
      <c r="J312" s="60" t="n">
        <v>4.5</v>
      </c>
      <c r="K312" s="62" t="n">
        <f aca="false">IFERROR((F312-J312)*H312,"")</f>
        <v>218.8</v>
      </c>
      <c r="L312" s="63" t="n">
        <f aca="false">IFERROR(IF(F312&gt;0,LN(F312),""),"")</f>
        <v>2.29958058397375</v>
      </c>
      <c r="M312" s="63" t="n">
        <f aca="false">IFERROR(IF(H312&gt;0,LN(H312),""),"")</f>
        <v>3.68887945411394</v>
      </c>
    </row>
    <row r="313" customFormat="false" ht="15" hidden="false" customHeight="true" outlineLevel="0" collapsed="false">
      <c r="A313" s="60" t="n">
        <v>38</v>
      </c>
      <c r="B313" s="60" t="n">
        <v>3</v>
      </c>
      <c r="C313" s="60" t="s">
        <v>248</v>
      </c>
      <c r="D313" s="60" t="s">
        <v>79</v>
      </c>
      <c r="E313" s="60" t="s">
        <v>245</v>
      </c>
      <c r="F313" s="61" t="n">
        <v>10.5</v>
      </c>
      <c r="G313" s="61" t="n">
        <v>10.5</v>
      </c>
      <c r="H313" s="60" t="n">
        <v>33</v>
      </c>
      <c r="I313" s="62" t="n">
        <f aca="false">IFERROR(F313*H313,"")</f>
        <v>346.5</v>
      </c>
      <c r="J313" s="60" t="n">
        <v>4.5</v>
      </c>
      <c r="K313" s="62" t="n">
        <f aca="false">IFERROR((F313-J313)*H313,"")</f>
        <v>198</v>
      </c>
      <c r="L313" s="63" t="n">
        <f aca="false">IFERROR(IF(F313&gt;0,LN(F313),""),"")</f>
        <v>2.35137525716348</v>
      </c>
      <c r="M313" s="63" t="n">
        <f aca="false">IFERROR(IF(H313&gt;0,LN(H313),""),"")</f>
        <v>3.49650756146648</v>
      </c>
    </row>
    <row r="314" customFormat="false" ht="15" hidden="false" customHeight="true" outlineLevel="0" collapsed="false">
      <c r="A314" s="60" t="n">
        <v>39</v>
      </c>
      <c r="B314" s="60" t="n">
        <v>4</v>
      </c>
      <c r="C314" s="60" t="s">
        <v>248</v>
      </c>
      <c r="D314" s="60" t="s">
        <v>79</v>
      </c>
      <c r="E314" s="60" t="s">
        <v>245</v>
      </c>
      <c r="F314" s="61" t="n">
        <v>10.5</v>
      </c>
      <c r="G314" s="61" t="n">
        <v>10.5</v>
      </c>
      <c r="H314" s="60" t="n">
        <v>32</v>
      </c>
      <c r="I314" s="62" t="n">
        <f aca="false">IFERROR(F314*H314,"")</f>
        <v>336</v>
      </c>
      <c r="J314" s="60" t="n">
        <v>4.5</v>
      </c>
      <c r="K314" s="62" t="n">
        <f aca="false">IFERROR((F314-J314)*H314,"")</f>
        <v>192</v>
      </c>
      <c r="L314" s="63" t="n">
        <f aca="false">IFERROR(IF(F314&gt;0,LN(F314),""),"")</f>
        <v>2.35137525716348</v>
      </c>
      <c r="M314" s="63" t="n">
        <f aca="false">IFERROR(IF(H314&gt;0,LN(H314),""),"")</f>
        <v>3.46573590279973</v>
      </c>
    </row>
    <row r="315" customFormat="false" ht="15" hidden="false" customHeight="true" outlineLevel="0" collapsed="false">
      <c r="A315" s="60" t="n">
        <v>40</v>
      </c>
      <c r="B315" s="60" t="n">
        <v>5</v>
      </c>
      <c r="C315" s="60" t="s">
        <v>248</v>
      </c>
      <c r="D315" s="60" t="s">
        <v>79</v>
      </c>
      <c r="E315" s="60" t="s">
        <v>245</v>
      </c>
      <c r="F315" s="61" t="n">
        <v>10.5</v>
      </c>
      <c r="G315" s="61" t="n">
        <v>10.5</v>
      </c>
      <c r="H315" s="60" t="n">
        <v>41</v>
      </c>
      <c r="I315" s="62" t="n">
        <f aca="false">IFERROR(F315*H315,"")</f>
        <v>430.5</v>
      </c>
      <c r="J315" s="60" t="n">
        <v>4.5</v>
      </c>
      <c r="K315" s="62" t="n">
        <f aca="false">IFERROR((F315-J315)*H315,"")</f>
        <v>246</v>
      </c>
      <c r="L315" s="63" t="n">
        <f aca="false">IFERROR(IF(F315&gt;0,LN(F315),""),"")</f>
        <v>2.35137525716348</v>
      </c>
      <c r="M315" s="63" t="n">
        <f aca="false">IFERROR(IF(H315&gt;0,LN(H315),""),"")</f>
        <v>3.71357206670431</v>
      </c>
    </row>
    <row r="316" customFormat="false" ht="15" hidden="false" customHeight="true" outlineLevel="0" collapsed="false">
      <c r="A316" s="60" t="n">
        <v>41</v>
      </c>
      <c r="B316" s="60" t="n">
        <v>6</v>
      </c>
      <c r="C316" s="60" t="s">
        <v>248</v>
      </c>
      <c r="D316" s="60" t="s">
        <v>79</v>
      </c>
      <c r="E316" s="60" t="s">
        <v>245</v>
      </c>
      <c r="F316" s="61" t="n">
        <v>10.5</v>
      </c>
      <c r="G316" s="61" t="n">
        <v>10.5</v>
      </c>
      <c r="H316" s="60" t="n">
        <v>33</v>
      </c>
      <c r="I316" s="62" t="n">
        <f aca="false">IFERROR(F316*H316,"")</f>
        <v>346.5</v>
      </c>
      <c r="J316" s="60" t="n">
        <v>4.5</v>
      </c>
      <c r="K316" s="62" t="n">
        <f aca="false">IFERROR((F316-J316)*H316,"")</f>
        <v>198</v>
      </c>
      <c r="L316" s="63" t="n">
        <f aca="false">IFERROR(IF(F316&gt;0,LN(F316),""),"")</f>
        <v>2.35137525716348</v>
      </c>
      <c r="M316" s="63" t="n">
        <f aca="false">IFERROR(IF(H316&gt;0,LN(H316),""),"")</f>
        <v>3.49650756146648</v>
      </c>
    </row>
    <row r="317" customFormat="false" ht="15" hidden="false" customHeight="true" outlineLevel="0" collapsed="false">
      <c r="A317" s="60" t="n">
        <v>42</v>
      </c>
      <c r="B317" s="60" t="n">
        <v>7</v>
      </c>
      <c r="C317" s="60" t="s">
        <v>248</v>
      </c>
      <c r="D317" s="60" t="s">
        <v>79</v>
      </c>
      <c r="E317" s="60" t="s">
        <v>245</v>
      </c>
      <c r="F317" s="61" t="n">
        <v>10.5</v>
      </c>
      <c r="G317" s="61" t="n">
        <v>10.5</v>
      </c>
      <c r="H317" s="60" t="n">
        <v>50</v>
      </c>
      <c r="I317" s="62" t="n">
        <f aca="false">IFERROR(F317*H317,"")</f>
        <v>525</v>
      </c>
      <c r="J317" s="60" t="n">
        <v>4.5</v>
      </c>
      <c r="K317" s="62" t="n">
        <f aca="false">IFERROR((F317-J317)*H317,"")</f>
        <v>300</v>
      </c>
      <c r="L317" s="63" t="n">
        <f aca="false">IFERROR(IF(F317&gt;0,LN(F317),""),"")</f>
        <v>2.35137525716348</v>
      </c>
      <c r="M317" s="63" t="n">
        <f aca="false">IFERROR(IF(H317&gt;0,LN(H317),""),"")</f>
        <v>3.91202300542815</v>
      </c>
    </row>
    <row r="318" customFormat="false" ht="15" hidden="false" customHeight="true" outlineLevel="0" collapsed="false">
      <c r="A318" s="60" t="n">
        <v>43</v>
      </c>
      <c r="B318" s="60" t="n">
        <v>1</v>
      </c>
      <c r="C318" s="60" t="s">
        <v>248</v>
      </c>
      <c r="D318" s="60" t="s">
        <v>79</v>
      </c>
      <c r="E318" s="60" t="s">
        <v>245</v>
      </c>
      <c r="F318" s="61" t="n">
        <v>10.5</v>
      </c>
      <c r="G318" s="61" t="n">
        <v>10.5</v>
      </c>
      <c r="H318" s="60" t="n">
        <v>38</v>
      </c>
      <c r="I318" s="62" t="n">
        <f aca="false">IFERROR(F318*H318,"")</f>
        <v>399</v>
      </c>
      <c r="J318" s="60" t="n">
        <v>4.5</v>
      </c>
      <c r="K318" s="62" t="n">
        <f aca="false">IFERROR((F318-J318)*H318,"")</f>
        <v>228</v>
      </c>
      <c r="L318" s="63" t="n">
        <f aca="false">IFERROR(IF(F318&gt;0,LN(F318),""),"")</f>
        <v>2.35137525716348</v>
      </c>
      <c r="M318" s="63" t="n">
        <f aca="false">IFERROR(IF(H318&gt;0,LN(H318),""),"")</f>
        <v>3.63758615972639</v>
      </c>
    </row>
    <row r="319" customFormat="false" ht="15" hidden="false" customHeight="true" outlineLevel="0" collapsed="false">
      <c r="A319" s="60" t="n">
        <v>44</v>
      </c>
      <c r="B319" s="60" t="n">
        <v>2</v>
      </c>
      <c r="C319" s="60" t="s">
        <v>248</v>
      </c>
      <c r="D319" s="60" t="s">
        <v>79</v>
      </c>
      <c r="E319" s="60" t="s">
        <v>245</v>
      </c>
      <c r="F319" s="61" t="n">
        <v>11.55</v>
      </c>
      <c r="G319" s="61" t="n">
        <v>10.5</v>
      </c>
      <c r="H319" s="60" t="n">
        <v>27</v>
      </c>
      <c r="I319" s="62" t="n">
        <f aca="false">IFERROR(F319*H319,"")</f>
        <v>311.85</v>
      </c>
      <c r="J319" s="60" t="n">
        <v>4.5</v>
      </c>
      <c r="K319" s="62" t="n">
        <f aca="false">IFERROR((F319-J319)*H319,"")</f>
        <v>190.35</v>
      </c>
      <c r="L319" s="63" t="n">
        <f aca="false">IFERROR(IF(F319&gt;0,LN(F319),""),"")</f>
        <v>2.4466854369678</v>
      </c>
      <c r="M319" s="63" t="n">
        <f aca="false">IFERROR(IF(H319&gt;0,LN(H319),""),"")</f>
        <v>3.29583686600433</v>
      </c>
    </row>
    <row r="320" customFormat="false" ht="15" hidden="false" customHeight="true" outlineLevel="0" collapsed="false">
      <c r="A320" s="60" t="n">
        <v>45</v>
      </c>
      <c r="B320" s="60" t="n">
        <v>3</v>
      </c>
      <c r="C320" s="60" t="s">
        <v>248</v>
      </c>
      <c r="D320" s="60" t="s">
        <v>79</v>
      </c>
      <c r="E320" s="60" t="s">
        <v>245</v>
      </c>
      <c r="F320" s="61" t="n">
        <v>11.03</v>
      </c>
      <c r="G320" s="61" t="n">
        <v>10.5</v>
      </c>
      <c r="H320" s="60" t="n">
        <v>47</v>
      </c>
      <c r="I320" s="62" t="n">
        <f aca="false">IFERROR(F320*H320,"")</f>
        <v>518.41</v>
      </c>
      <c r="J320" s="60" t="n">
        <v>4.5</v>
      </c>
      <c r="K320" s="62" t="n">
        <f aca="false">IFERROR((F320-J320)*H320,"")</f>
        <v>306.91</v>
      </c>
      <c r="L320" s="63" t="n">
        <f aca="false">IFERROR(IF(F320&gt;0,LN(F320),""),"")</f>
        <v>2.40061883326541</v>
      </c>
      <c r="M320" s="63" t="n">
        <f aca="false">IFERROR(IF(H320&gt;0,LN(H320),""),"")</f>
        <v>3.85014760171006</v>
      </c>
    </row>
    <row r="321" customFormat="false" ht="15" hidden="false" customHeight="true" outlineLevel="0" collapsed="false">
      <c r="A321" s="60" t="n">
        <v>46</v>
      </c>
      <c r="B321" s="60" t="n">
        <v>4</v>
      </c>
      <c r="C321" s="60" t="s">
        <v>248</v>
      </c>
      <c r="D321" s="60" t="s">
        <v>79</v>
      </c>
      <c r="E321" s="60" t="s">
        <v>245</v>
      </c>
      <c r="F321" s="61" t="n">
        <v>9.97</v>
      </c>
      <c r="G321" s="61" t="n">
        <v>10.5</v>
      </c>
      <c r="H321" s="60" t="n">
        <v>42</v>
      </c>
      <c r="I321" s="62" t="n">
        <f aca="false">IFERROR(F321*H321,"")</f>
        <v>418.74</v>
      </c>
      <c r="J321" s="60" t="n">
        <v>4.5</v>
      </c>
      <c r="K321" s="62" t="n">
        <f aca="false">IFERROR((F321-J321)*H321,"")</f>
        <v>229.74</v>
      </c>
      <c r="L321" s="63" t="n">
        <f aca="false">IFERROR(IF(F321&gt;0,LN(F321),""),"")</f>
        <v>2.29958058397375</v>
      </c>
      <c r="M321" s="63" t="n">
        <f aca="false">IFERROR(IF(H321&gt;0,LN(H321),""),"")</f>
        <v>3.73766961828337</v>
      </c>
    </row>
    <row r="322" customFormat="false" ht="15" hidden="false" customHeight="true" outlineLevel="0" collapsed="false">
      <c r="A322" s="60" t="n">
        <v>47</v>
      </c>
      <c r="B322" s="60" t="n">
        <v>5</v>
      </c>
      <c r="C322" s="60" t="s">
        <v>248</v>
      </c>
      <c r="D322" s="60" t="s">
        <v>79</v>
      </c>
      <c r="E322" s="60" t="s">
        <v>245</v>
      </c>
      <c r="F322" s="61" t="n">
        <v>11.55</v>
      </c>
      <c r="G322" s="61" t="n">
        <v>10.5</v>
      </c>
      <c r="H322" s="60" t="n">
        <v>44</v>
      </c>
      <c r="I322" s="62" t="n">
        <f aca="false">IFERROR(F322*H322,"")</f>
        <v>508.2</v>
      </c>
      <c r="J322" s="60" t="n">
        <v>4.5</v>
      </c>
      <c r="K322" s="62" t="n">
        <f aca="false">IFERROR((F322-J322)*H322,"")</f>
        <v>310.2</v>
      </c>
      <c r="L322" s="63" t="n">
        <f aca="false">IFERROR(IF(F322&gt;0,LN(F322),""),"")</f>
        <v>2.4466854369678</v>
      </c>
      <c r="M322" s="63" t="n">
        <f aca="false">IFERROR(IF(H322&gt;0,LN(H322),""),"")</f>
        <v>3.78418963391826</v>
      </c>
    </row>
    <row r="323" customFormat="false" ht="15" hidden="false" customHeight="true" outlineLevel="0" collapsed="false">
      <c r="A323" s="60" t="n">
        <v>48</v>
      </c>
      <c r="B323" s="60" t="n">
        <v>6</v>
      </c>
      <c r="C323" s="60" t="s">
        <v>248</v>
      </c>
      <c r="D323" s="60" t="s">
        <v>79</v>
      </c>
      <c r="E323" s="60" t="s">
        <v>245</v>
      </c>
      <c r="F323" s="61" t="n">
        <v>9.45</v>
      </c>
      <c r="G323" s="61" t="n">
        <v>10.5</v>
      </c>
      <c r="H323" s="60" t="n">
        <v>46</v>
      </c>
      <c r="I323" s="62" t="n">
        <f aca="false">IFERROR(F323*H323,"")</f>
        <v>434.7</v>
      </c>
      <c r="J323" s="60" t="n">
        <v>4.5</v>
      </c>
      <c r="K323" s="62" t="n">
        <f aca="false">IFERROR((F323-J323)*H323,"")</f>
        <v>227.7</v>
      </c>
      <c r="L323" s="63" t="n">
        <f aca="false">IFERROR(IF(F323&gt;0,LN(F323),""),"")</f>
        <v>2.24601474150565</v>
      </c>
      <c r="M323" s="63" t="n">
        <f aca="false">IFERROR(IF(H323&gt;0,LN(H323),""),"")</f>
        <v>3.8286413964891</v>
      </c>
    </row>
    <row r="324" customFormat="false" ht="15" hidden="false" customHeight="true" outlineLevel="0" collapsed="false">
      <c r="A324" s="60" t="n">
        <v>49</v>
      </c>
      <c r="B324" s="60" t="n">
        <v>7</v>
      </c>
      <c r="C324" s="60" t="s">
        <v>248</v>
      </c>
      <c r="D324" s="60" t="s">
        <v>79</v>
      </c>
      <c r="E324" s="60" t="s">
        <v>245</v>
      </c>
      <c r="F324" s="61" t="n">
        <v>9.45</v>
      </c>
      <c r="G324" s="61" t="n">
        <v>10.5</v>
      </c>
      <c r="H324" s="60" t="n">
        <v>44</v>
      </c>
      <c r="I324" s="62" t="n">
        <f aca="false">IFERROR(F324*H324,"")</f>
        <v>415.8</v>
      </c>
      <c r="J324" s="60" t="n">
        <v>4.5</v>
      </c>
      <c r="K324" s="62" t="n">
        <f aca="false">IFERROR((F324-J324)*H324,"")</f>
        <v>217.8</v>
      </c>
      <c r="L324" s="63" t="n">
        <f aca="false">IFERROR(IF(F324&gt;0,LN(F324),""),"")</f>
        <v>2.24601474150565</v>
      </c>
      <c r="M324" s="63" t="n">
        <f aca="false">IFERROR(IF(H324&gt;0,LN(H324),""),"")</f>
        <v>3.78418963391826</v>
      </c>
    </row>
    <row r="325" customFormat="false" ht="15" hidden="false" customHeight="true" outlineLevel="0" collapsed="false">
      <c r="A325" s="60" t="n">
        <v>50</v>
      </c>
      <c r="B325" s="60" t="n">
        <v>1</v>
      </c>
      <c r="C325" s="60" t="s">
        <v>248</v>
      </c>
      <c r="D325" s="60" t="s">
        <v>79</v>
      </c>
      <c r="E325" s="60" t="s">
        <v>245</v>
      </c>
      <c r="F325" s="61" t="n">
        <v>9.45</v>
      </c>
      <c r="G325" s="61" t="n">
        <v>10.5</v>
      </c>
      <c r="H325" s="60" t="n">
        <v>38</v>
      </c>
      <c r="I325" s="62" t="n">
        <f aca="false">IFERROR(F325*H325,"")</f>
        <v>359.1</v>
      </c>
      <c r="J325" s="60" t="n">
        <v>4.5</v>
      </c>
      <c r="K325" s="62" t="n">
        <f aca="false">IFERROR((F325-J325)*H325,"")</f>
        <v>188.1</v>
      </c>
      <c r="L325" s="63" t="n">
        <f aca="false">IFERROR(IF(F325&gt;0,LN(F325),""),"")</f>
        <v>2.24601474150565</v>
      </c>
      <c r="M325" s="63" t="n">
        <f aca="false">IFERROR(IF(H325&gt;0,LN(H325),""),"")</f>
        <v>3.63758615972639</v>
      </c>
    </row>
    <row r="326" customFormat="false" ht="15" hidden="false" customHeight="true" outlineLevel="0" collapsed="false">
      <c r="A326" s="60" t="n">
        <v>51</v>
      </c>
      <c r="B326" s="60" t="n">
        <v>2</v>
      </c>
      <c r="C326" s="60" t="s">
        <v>248</v>
      </c>
      <c r="D326" s="60" t="s">
        <v>79</v>
      </c>
      <c r="E326" s="60" t="s">
        <v>245</v>
      </c>
      <c r="F326" s="61" t="n">
        <v>11.03</v>
      </c>
      <c r="G326" s="61" t="n">
        <v>10.5</v>
      </c>
      <c r="H326" s="60" t="n">
        <v>35</v>
      </c>
      <c r="I326" s="62" t="n">
        <f aca="false">IFERROR(F326*H326,"")</f>
        <v>386.05</v>
      </c>
      <c r="J326" s="60" t="n">
        <v>4.5</v>
      </c>
      <c r="K326" s="62" t="n">
        <f aca="false">IFERROR((F326-J326)*H326,"")</f>
        <v>228.55</v>
      </c>
      <c r="L326" s="63" t="n">
        <f aca="false">IFERROR(IF(F326&gt;0,LN(F326),""),"")</f>
        <v>2.40061883326541</v>
      </c>
      <c r="M326" s="63" t="n">
        <f aca="false">IFERROR(IF(H326&gt;0,LN(H326),""),"")</f>
        <v>3.55534806148941</v>
      </c>
    </row>
    <row r="327" customFormat="false" ht="15" hidden="false" customHeight="true" outlineLevel="0" collapsed="false">
      <c r="A327" s="60" t="n">
        <v>52</v>
      </c>
      <c r="B327" s="60" t="n">
        <v>3</v>
      </c>
      <c r="C327" s="60" t="s">
        <v>248</v>
      </c>
      <c r="D327" s="60" t="s">
        <v>79</v>
      </c>
      <c r="E327" s="60" t="s">
        <v>245</v>
      </c>
      <c r="F327" s="61" t="n">
        <v>11.55</v>
      </c>
      <c r="G327" s="61" t="n">
        <v>10.5</v>
      </c>
      <c r="H327" s="60" t="n">
        <v>33</v>
      </c>
      <c r="I327" s="62" t="n">
        <f aca="false">IFERROR(F327*H327,"")</f>
        <v>381.15</v>
      </c>
      <c r="J327" s="60" t="n">
        <v>4.5</v>
      </c>
      <c r="K327" s="62" t="n">
        <f aca="false">IFERROR((F327-J327)*H327,"")</f>
        <v>232.65</v>
      </c>
      <c r="L327" s="63" t="n">
        <f aca="false">IFERROR(IF(F327&gt;0,LN(F327),""),"")</f>
        <v>2.4466854369678</v>
      </c>
      <c r="M327" s="63" t="n">
        <f aca="false">IFERROR(IF(H327&gt;0,LN(H327),""),"")</f>
        <v>3.49650756146648</v>
      </c>
    </row>
    <row r="328" customFormat="false" ht="15" hidden="false" customHeight="true" outlineLevel="0" collapsed="false">
      <c r="A328" s="60" t="n">
        <v>53</v>
      </c>
      <c r="B328" s="60" t="n">
        <v>4</v>
      </c>
      <c r="C328" s="60" t="s">
        <v>248</v>
      </c>
      <c r="D328" s="60" t="s">
        <v>79</v>
      </c>
      <c r="E328" s="60" t="s">
        <v>245</v>
      </c>
      <c r="F328" s="61" t="n">
        <v>9.45</v>
      </c>
      <c r="G328" s="61" t="n">
        <v>10.5</v>
      </c>
      <c r="H328" s="60" t="n">
        <v>36</v>
      </c>
      <c r="I328" s="62" t="n">
        <f aca="false">IFERROR(F328*H328,"")</f>
        <v>340.2</v>
      </c>
      <c r="J328" s="60" t="n">
        <v>4.5</v>
      </c>
      <c r="K328" s="62" t="n">
        <f aca="false">IFERROR((F328-J328)*H328,"")</f>
        <v>178.2</v>
      </c>
      <c r="L328" s="63" t="n">
        <f aca="false">IFERROR(IF(F328&gt;0,LN(F328),""),"")</f>
        <v>2.24601474150565</v>
      </c>
      <c r="M328" s="63" t="n">
        <f aca="false">IFERROR(IF(H328&gt;0,LN(H328),""),"")</f>
        <v>3.58351893845611</v>
      </c>
    </row>
    <row r="329" customFormat="false" ht="15" hidden="false" customHeight="true" outlineLevel="0" collapsed="false">
      <c r="A329" s="60" t="n">
        <v>54</v>
      </c>
      <c r="B329" s="60" t="n">
        <v>5</v>
      </c>
      <c r="C329" s="60" t="s">
        <v>248</v>
      </c>
      <c r="D329" s="60" t="s">
        <v>79</v>
      </c>
      <c r="E329" s="60" t="s">
        <v>245</v>
      </c>
      <c r="F329" s="61" t="n">
        <v>11.55</v>
      </c>
      <c r="G329" s="61" t="n">
        <v>10.5</v>
      </c>
      <c r="H329" s="60" t="n">
        <v>30</v>
      </c>
      <c r="I329" s="62" t="n">
        <f aca="false">IFERROR(F329*H329,"")</f>
        <v>346.5</v>
      </c>
      <c r="J329" s="60" t="n">
        <v>4.5</v>
      </c>
      <c r="K329" s="62" t="n">
        <f aca="false">IFERROR((F329-J329)*H329,"")</f>
        <v>211.5</v>
      </c>
      <c r="L329" s="63" t="n">
        <f aca="false">IFERROR(IF(F329&gt;0,LN(F329),""),"")</f>
        <v>2.4466854369678</v>
      </c>
      <c r="M329" s="63" t="n">
        <f aca="false">IFERROR(IF(H329&gt;0,LN(H329),""),"")</f>
        <v>3.40119738166216</v>
      </c>
    </row>
    <row r="330" customFormat="false" ht="15" hidden="false" customHeight="true" outlineLevel="0" collapsed="false">
      <c r="A330" s="60" t="n">
        <v>55</v>
      </c>
      <c r="B330" s="60" t="n">
        <v>6</v>
      </c>
      <c r="C330" s="60" t="s">
        <v>248</v>
      </c>
      <c r="D330" s="60" t="s">
        <v>79</v>
      </c>
      <c r="E330" s="60" t="s">
        <v>245</v>
      </c>
      <c r="F330" s="61" t="n">
        <v>10.5</v>
      </c>
      <c r="G330" s="61" t="n">
        <v>10.5</v>
      </c>
      <c r="H330" s="60" t="n">
        <v>35</v>
      </c>
      <c r="I330" s="62" t="n">
        <f aca="false">IFERROR(F330*H330,"")</f>
        <v>367.5</v>
      </c>
      <c r="J330" s="60" t="n">
        <v>4.5</v>
      </c>
      <c r="K330" s="62" t="n">
        <f aca="false">IFERROR((F330-J330)*H330,"")</f>
        <v>210</v>
      </c>
      <c r="L330" s="63" t="n">
        <f aca="false">IFERROR(IF(F330&gt;0,LN(F330),""),"")</f>
        <v>2.35137525716348</v>
      </c>
      <c r="M330" s="63" t="n">
        <f aca="false">IFERROR(IF(H330&gt;0,LN(H330),""),"")</f>
        <v>3.55534806148941</v>
      </c>
    </row>
    <row r="331" customFormat="false" ht="15" hidden="false" customHeight="true" outlineLevel="0" collapsed="false">
      <c r="A331" s="60" t="n">
        <v>56</v>
      </c>
      <c r="B331" s="60" t="n">
        <v>7</v>
      </c>
      <c r="C331" s="60" t="s">
        <v>248</v>
      </c>
      <c r="D331" s="60" t="s">
        <v>79</v>
      </c>
      <c r="E331" s="60" t="s">
        <v>245</v>
      </c>
      <c r="F331" s="61" t="n">
        <v>11.03</v>
      </c>
      <c r="G331" s="61" t="n">
        <v>10.5</v>
      </c>
      <c r="H331" s="60" t="n">
        <v>30</v>
      </c>
      <c r="I331" s="62" t="n">
        <f aca="false">IFERROR(F331*H331,"")</f>
        <v>330.9</v>
      </c>
      <c r="J331" s="60" t="n">
        <v>4.5</v>
      </c>
      <c r="K331" s="62" t="n">
        <f aca="false">IFERROR((F331-J331)*H331,"")</f>
        <v>195.9</v>
      </c>
      <c r="L331" s="63" t="n">
        <f aca="false">IFERROR(IF(F331&gt;0,LN(F331),""),"")</f>
        <v>2.40061883326541</v>
      </c>
      <c r="M331" s="63" t="n">
        <f aca="false">IFERROR(IF(H331&gt;0,LN(H331),""),"")</f>
        <v>3.40119738166216</v>
      </c>
    </row>
    <row r="332" customFormat="false" ht="15" hidden="false" customHeight="true" outlineLevel="0" collapsed="false">
      <c r="A332" s="60" t="n">
        <v>57</v>
      </c>
      <c r="B332" s="60" t="n">
        <v>1</v>
      </c>
      <c r="C332" s="60" t="s">
        <v>248</v>
      </c>
      <c r="D332" s="60" t="s">
        <v>79</v>
      </c>
      <c r="E332" s="60" t="s">
        <v>245</v>
      </c>
      <c r="F332" s="61" t="n">
        <v>11.55</v>
      </c>
      <c r="G332" s="61" t="n">
        <v>10.5</v>
      </c>
      <c r="H332" s="60" t="n">
        <v>30</v>
      </c>
      <c r="I332" s="62" t="n">
        <f aca="false">IFERROR(F332*H332,"")</f>
        <v>346.5</v>
      </c>
      <c r="J332" s="60" t="n">
        <v>4.5</v>
      </c>
      <c r="K332" s="62" t="n">
        <f aca="false">IFERROR((F332-J332)*H332,"")</f>
        <v>211.5</v>
      </c>
      <c r="L332" s="63" t="n">
        <f aca="false">IFERROR(IF(F332&gt;0,LN(F332),""),"")</f>
        <v>2.4466854369678</v>
      </c>
      <c r="M332" s="63" t="n">
        <f aca="false">IFERROR(IF(H332&gt;0,LN(H332),""),"")</f>
        <v>3.40119738166216</v>
      </c>
    </row>
    <row r="333" customFormat="false" ht="15" hidden="false" customHeight="true" outlineLevel="0" collapsed="false">
      <c r="A333" s="60" t="n">
        <v>58</v>
      </c>
      <c r="B333" s="60" t="n">
        <v>2</v>
      </c>
      <c r="C333" s="60" t="s">
        <v>248</v>
      </c>
      <c r="D333" s="60" t="s">
        <v>79</v>
      </c>
      <c r="E333" s="60" t="s">
        <v>245</v>
      </c>
      <c r="F333" s="61" t="n">
        <v>9.97</v>
      </c>
      <c r="G333" s="61" t="n">
        <v>10.5</v>
      </c>
      <c r="H333" s="60" t="n">
        <v>29</v>
      </c>
      <c r="I333" s="62" t="n">
        <f aca="false">IFERROR(F333*H333,"")</f>
        <v>289.13</v>
      </c>
      <c r="J333" s="60" t="n">
        <v>4.5</v>
      </c>
      <c r="K333" s="62" t="n">
        <f aca="false">IFERROR((F333-J333)*H333,"")</f>
        <v>158.63</v>
      </c>
      <c r="L333" s="63" t="n">
        <f aca="false">IFERROR(IF(F333&gt;0,LN(F333),""),"")</f>
        <v>2.29958058397375</v>
      </c>
      <c r="M333" s="63" t="n">
        <f aca="false">IFERROR(IF(H333&gt;0,LN(H333),""),"")</f>
        <v>3.36729582998647</v>
      </c>
    </row>
    <row r="334" customFormat="false" ht="15" hidden="false" customHeight="true" outlineLevel="0" collapsed="false">
      <c r="A334" s="60" t="n">
        <v>59</v>
      </c>
      <c r="B334" s="60" t="n">
        <v>3</v>
      </c>
      <c r="C334" s="60" t="s">
        <v>248</v>
      </c>
      <c r="D334" s="60" t="s">
        <v>79</v>
      </c>
      <c r="E334" s="60" t="s">
        <v>245</v>
      </c>
      <c r="F334" s="61" t="n">
        <v>10.5</v>
      </c>
      <c r="G334" s="61" t="n">
        <v>10.5</v>
      </c>
      <c r="H334" s="60" t="n">
        <v>36</v>
      </c>
      <c r="I334" s="62" t="n">
        <f aca="false">IFERROR(F334*H334,"")</f>
        <v>378</v>
      </c>
      <c r="J334" s="60" t="n">
        <v>4.5</v>
      </c>
      <c r="K334" s="62" t="n">
        <f aca="false">IFERROR((F334-J334)*H334,"")</f>
        <v>216</v>
      </c>
      <c r="L334" s="63" t="n">
        <f aca="false">IFERROR(IF(F334&gt;0,LN(F334),""),"")</f>
        <v>2.35137525716348</v>
      </c>
      <c r="M334" s="63" t="n">
        <f aca="false">IFERROR(IF(H334&gt;0,LN(H334),""),"")</f>
        <v>3.58351893845611</v>
      </c>
    </row>
    <row r="335" customFormat="false" ht="15" hidden="false" customHeight="true" outlineLevel="0" collapsed="false">
      <c r="A335" s="60" t="n">
        <v>60</v>
      </c>
      <c r="B335" s="60" t="n">
        <v>4</v>
      </c>
      <c r="C335" s="60" t="s">
        <v>248</v>
      </c>
      <c r="D335" s="60" t="s">
        <v>79</v>
      </c>
      <c r="E335" s="60" t="s">
        <v>245</v>
      </c>
      <c r="F335" s="61" t="n">
        <v>10.5</v>
      </c>
      <c r="G335" s="61" t="n">
        <v>10.5</v>
      </c>
      <c r="H335" s="60" t="n">
        <v>36</v>
      </c>
      <c r="I335" s="62" t="n">
        <f aca="false">IFERROR(F335*H335,"")</f>
        <v>378</v>
      </c>
      <c r="J335" s="60" t="n">
        <v>4.5</v>
      </c>
      <c r="K335" s="62" t="n">
        <f aca="false">IFERROR((F335-J335)*H335,"")</f>
        <v>216</v>
      </c>
      <c r="L335" s="63" t="n">
        <f aca="false">IFERROR(IF(F335&gt;0,LN(F335),""),"")</f>
        <v>2.35137525716348</v>
      </c>
      <c r="M335" s="63" t="n">
        <f aca="false">IFERROR(IF(H335&gt;0,LN(H335),""),"")</f>
        <v>3.58351893845611</v>
      </c>
    </row>
    <row r="336" customFormat="false" ht="15" hidden="false" customHeight="true" outlineLevel="0" collapsed="false">
      <c r="A336" s="60" t="n">
        <v>61</v>
      </c>
      <c r="B336" s="60" t="n">
        <v>5</v>
      </c>
      <c r="C336" s="60" t="s">
        <v>248</v>
      </c>
      <c r="D336" s="60" t="s">
        <v>79</v>
      </c>
      <c r="E336" s="60" t="s">
        <v>245</v>
      </c>
      <c r="F336" s="61" t="n">
        <v>11.03</v>
      </c>
      <c r="G336" s="61" t="n">
        <v>10.5</v>
      </c>
      <c r="H336" s="60" t="n">
        <v>28</v>
      </c>
      <c r="I336" s="62" t="n">
        <f aca="false">IFERROR(F336*H336,"")</f>
        <v>308.84</v>
      </c>
      <c r="J336" s="60" t="n">
        <v>4.5</v>
      </c>
      <c r="K336" s="62" t="n">
        <f aca="false">IFERROR((F336-J336)*H336,"")</f>
        <v>182.84</v>
      </c>
      <c r="L336" s="63" t="n">
        <f aca="false">IFERROR(IF(F336&gt;0,LN(F336),""),"")</f>
        <v>2.40061883326541</v>
      </c>
      <c r="M336" s="63" t="n">
        <f aca="false">IFERROR(IF(H336&gt;0,LN(H336),""),"")</f>
        <v>3.3322045101752</v>
      </c>
    </row>
    <row r="337" customFormat="false" ht="15" hidden="false" customHeight="true" outlineLevel="0" collapsed="false">
      <c r="A337" s="60" t="n">
        <v>62</v>
      </c>
      <c r="B337" s="60" t="n">
        <v>6</v>
      </c>
      <c r="C337" s="60" t="s">
        <v>248</v>
      </c>
      <c r="D337" s="60" t="s">
        <v>79</v>
      </c>
      <c r="E337" s="60" t="s">
        <v>245</v>
      </c>
      <c r="F337" s="61" t="n">
        <v>10.5</v>
      </c>
      <c r="G337" s="61" t="n">
        <v>10.5</v>
      </c>
      <c r="H337" s="60" t="n">
        <v>25</v>
      </c>
      <c r="I337" s="62" t="n">
        <f aca="false">IFERROR(F337*H337,"")</f>
        <v>262.5</v>
      </c>
      <c r="J337" s="60" t="n">
        <v>4.5</v>
      </c>
      <c r="K337" s="62" t="n">
        <f aca="false">IFERROR((F337-J337)*H337,"")</f>
        <v>150</v>
      </c>
      <c r="L337" s="63" t="n">
        <f aca="false">IFERROR(IF(F337&gt;0,LN(F337),""),"")</f>
        <v>2.35137525716348</v>
      </c>
      <c r="M337" s="63" t="n">
        <f aca="false">IFERROR(IF(H337&gt;0,LN(H337),""),"")</f>
        <v>3.2188758248682</v>
      </c>
    </row>
    <row r="338" customFormat="false" ht="15" hidden="false" customHeight="true" outlineLevel="0" collapsed="false">
      <c r="A338" s="60" t="n">
        <v>63</v>
      </c>
      <c r="B338" s="60" t="n">
        <v>7</v>
      </c>
      <c r="C338" s="60" t="s">
        <v>248</v>
      </c>
      <c r="D338" s="60" t="s">
        <v>79</v>
      </c>
      <c r="E338" s="60" t="s">
        <v>245</v>
      </c>
      <c r="F338" s="61" t="n">
        <v>11.55</v>
      </c>
      <c r="G338" s="61" t="n">
        <v>10.5</v>
      </c>
      <c r="H338" s="60" t="n">
        <v>33</v>
      </c>
      <c r="I338" s="62" t="n">
        <f aca="false">IFERROR(F338*H338,"")</f>
        <v>381.15</v>
      </c>
      <c r="J338" s="60" t="n">
        <v>4.5</v>
      </c>
      <c r="K338" s="62" t="n">
        <f aca="false">IFERROR((F338-J338)*H338,"")</f>
        <v>232.65</v>
      </c>
      <c r="L338" s="63" t="n">
        <f aca="false">IFERROR(IF(F338&gt;0,LN(F338),""),"")</f>
        <v>2.4466854369678</v>
      </c>
      <c r="M338" s="63" t="n">
        <f aca="false">IFERROR(IF(H338&gt;0,LN(H338),""),"")</f>
        <v>3.49650756146648</v>
      </c>
    </row>
    <row r="339" customFormat="false" ht="15" hidden="false" customHeight="true" outlineLevel="0" collapsed="false">
      <c r="A339" s="60" t="n">
        <v>64</v>
      </c>
      <c r="B339" s="60" t="n">
        <v>1</v>
      </c>
      <c r="C339" s="60" t="s">
        <v>248</v>
      </c>
      <c r="D339" s="60" t="s">
        <v>79</v>
      </c>
      <c r="E339" s="60" t="s">
        <v>245</v>
      </c>
      <c r="F339" s="61" t="n">
        <v>11.55</v>
      </c>
      <c r="G339" s="61" t="n">
        <v>10.5</v>
      </c>
      <c r="H339" s="60" t="n">
        <v>38</v>
      </c>
      <c r="I339" s="62" t="n">
        <f aca="false">IFERROR(F339*H339,"")</f>
        <v>438.9</v>
      </c>
      <c r="J339" s="60" t="n">
        <v>4.5</v>
      </c>
      <c r="K339" s="62" t="n">
        <f aca="false">IFERROR((F339-J339)*H339,"")</f>
        <v>267.9</v>
      </c>
      <c r="L339" s="63" t="n">
        <f aca="false">IFERROR(IF(F339&gt;0,LN(F339),""),"")</f>
        <v>2.4466854369678</v>
      </c>
      <c r="M339" s="63" t="n">
        <f aca="false">IFERROR(IF(H339&gt;0,LN(H339),""),"")</f>
        <v>3.63758615972639</v>
      </c>
    </row>
    <row r="340" customFormat="false" ht="15" hidden="false" customHeight="true" outlineLevel="0" collapsed="false">
      <c r="A340" s="60" t="n">
        <v>65</v>
      </c>
      <c r="B340" s="60" t="n">
        <v>2</v>
      </c>
      <c r="C340" s="60" t="s">
        <v>248</v>
      </c>
      <c r="D340" s="60" t="s">
        <v>79</v>
      </c>
      <c r="E340" s="60" t="s">
        <v>245</v>
      </c>
      <c r="F340" s="61" t="n">
        <v>9.97</v>
      </c>
      <c r="G340" s="61" t="n">
        <v>10.5</v>
      </c>
      <c r="H340" s="60" t="n">
        <v>46</v>
      </c>
      <c r="I340" s="62" t="n">
        <f aca="false">IFERROR(F340*H340,"")</f>
        <v>458.62</v>
      </c>
      <c r="J340" s="60" t="n">
        <v>4.5</v>
      </c>
      <c r="K340" s="62" t="n">
        <f aca="false">IFERROR((F340-J340)*H340,"")</f>
        <v>251.62</v>
      </c>
      <c r="L340" s="63" t="n">
        <f aca="false">IFERROR(IF(F340&gt;0,LN(F340),""),"")</f>
        <v>2.29958058397375</v>
      </c>
      <c r="M340" s="63" t="n">
        <f aca="false">IFERROR(IF(H340&gt;0,LN(H340),""),"")</f>
        <v>3.8286413964891</v>
      </c>
    </row>
    <row r="341" customFormat="false" ht="15" hidden="false" customHeight="true" outlineLevel="0" collapsed="false">
      <c r="A341" s="60" t="n">
        <v>66</v>
      </c>
      <c r="B341" s="60" t="n">
        <v>3</v>
      </c>
      <c r="C341" s="60" t="s">
        <v>248</v>
      </c>
      <c r="D341" s="60" t="s">
        <v>79</v>
      </c>
      <c r="E341" s="60" t="s">
        <v>245</v>
      </c>
      <c r="F341" s="61" t="n">
        <v>11.55</v>
      </c>
      <c r="G341" s="61" t="n">
        <v>10.5</v>
      </c>
      <c r="H341" s="60" t="n">
        <v>36</v>
      </c>
      <c r="I341" s="62" t="n">
        <f aca="false">IFERROR(F341*H341,"")</f>
        <v>415.8</v>
      </c>
      <c r="J341" s="60" t="n">
        <v>4.5</v>
      </c>
      <c r="K341" s="62" t="n">
        <f aca="false">IFERROR((F341-J341)*H341,"")</f>
        <v>253.8</v>
      </c>
      <c r="L341" s="63" t="n">
        <f aca="false">IFERROR(IF(F341&gt;0,LN(F341),""),"")</f>
        <v>2.4466854369678</v>
      </c>
      <c r="M341" s="63" t="n">
        <f aca="false">IFERROR(IF(H341&gt;0,LN(H341),""),"")</f>
        <v>3.58351893845611</v>
      </c>
    </row>
    <row r="342" customFormat="false" ht="15" hidden="false" customHeight="true" outlineLevel="0" collapsed="false">
      <c r="A342" s="60" t="n">
        <v>67</v>
      </c>
      <c r="B342" s="60" t="n">
        <v>4</v>
      </c>
      <c r="C342" s="60" t="s">
        <v>248</v>
      </c>
      <c r="D342" s="60" t="s">
        <v>79</v>
      </c>
      <c r="E342" s="60" t="s">
        <v>245</v>
      </c>
      <c r="F342" s="61" t="n">
        <v>11.03</v>
      </c>
      <c r="G342" s="61" t="n">
        <v>10.5</v>
      </c>
      <c r="H342" s="60" t="n">
        <v>36</v>
      </c>
      <c r="I342" s="62" t="n">
        <f aca="false">IFERROR(F342*H342,"")</f>
        <v>397.08</v>
      </c>
      <c r="J342" s="60" t="n">
        <v>4.5</v>
      </c>
      <c r="K342" s="62" t="n">
        <f aca="false">IFERROR((F342-J342)*H342,"")</f>
        <v>235.08</v>
      </c>
      <c r="L342" s="63" t="n">
        <f aca="false">IFERROR(IF(F342&gt;0,LN(F342),""),"")</f>
        <v>2.40061883326541</v>
      </c>
      <c r="M342" s="63" t="n">
        <f aca="false">IFERROR(IF(H342&gt;0,LN(H342),""),"")</f>
        <v>3.58351893845611</v>
      </c>
    </row>
    <row r="343" customFormat="false" ht="15" hidden="false" customHeight="true" outlineLevel="0" collapsed="false">
      <c r="A343" s="60" t="n">
        <v>68</v>
      </c>
      <c r="B343" s="60" t="n">
        <v>5</v>
      </c>
      <c r="C343" s="60" t="s">
        <v>248</v>
      </c>
      <c r="D343" s="60" t="s">
        <v>79</v>
      </c>
      <c r="E343" s="60" t="s">
        <v>245</v>
      </c>
      <c r="F343" s="61" t="n">
        <v>11.03</v>
      </c>
      <c r="G343" s="61" t="n">
        <v>10.5</v>
      </c>
      <c r="H343" s="60" t="n">
        <v>26</v>
      </c>
      <c r="I343" s="62" t="n">
        <f aca="false">IFERROR(F343*H343,"")</f>
        <v>286.78</v>
      </c>
      <c r="J343" s="60" t="n">
        <v>4.5</v>
      </c>
      <c r="K343" s="62" t="n">
        <f aca="false">IFERROR((F343-J343)*H343,"")</f>
        <v>169.78</v>
      </c>
      <c r="L343" s="63" t="n">
        <f aca="false">IFERROR(IF(F343&gt;0,LN(F343),""),"")</f>
        <v>2.40061883326541</v>
      </c>
      <c r="M343" s="63" t="n">
        <f aca="false">IFERROR(IF(H343&gt;0,LN(H343),""),"")</f>
        <v>3.25809653802148</v>
      </c>
    </row>
    <row r="344" customFormat="false" ht="15" hidden="false" customHeight="true" outlineLevel="0" collapsed="false">
      <c r="A344" s="60" t="n">
        <v>69</v>
      </c>
      <c r="B344" s="60" t="n">
        <v>6</v>
      </c>
      <c r="C344" s="60" t="s">
        <v>248</v>
      </c>
      <c r="D344" s="60" t="s">
        <v>79</v>
      </c>
      <c r="E344" s="60" t="s">
        <v>245</v>
      </c>
      <c r="F344" s="61" t="n">
        <v>9.45</v>
      </c>
      <c r="G344" s="61" t="n">
        <v>10.5</v>
      </c>
      <c r="H344" s="60" t="n">
        <v>36</v>
      </c>
      <c r="I344" s="62" t="n">
        <f aca="false">IFERROR(F344*H344,"")</f>
        <v>340.2</v>
      </c>
      <c r="J344" s="60" t="n">
        <v>4.5</v>
      </c>
      <c r="K344" s="62" t="n">
        <f aca="false">IFERROR((F344-J344)*H344,"")</f>
        <v>178.2</v>
      </c>
      <c r="L344" s="63" t="n">
        <f aca="false">IFERROR(IF(F344&gt;0,LN(F344),""),"")</f>
        <v>2.24601474150565</v>
      </c>
      <c r="M344" s="63" t="n">
        <f aca="false">IFERROR(IF(H344&gt;0,LN(H344),""),"")</f>
        <v>3.58351893845611</v>
      </c>
    </row>
    <row r="345" customFormat="false" ht="15" hidden="false" customHeight="true" outlineLevel="0" collapsed="false">
      <c r="A345" s="60" t="n">
        <v>70</v>
      </c>
      <c r="B345" s="60" t="n">
        <v>7</v>
      </c>
      <c r="C345" s="60" t="s">
        <v>248</v>
      </c>
      <c r="D345" s="60" t="s">
        <v>79</v>
      </c>
      <c r="E345" s="60" t="s">
        <v>245</v>
      </c>
      <c r="F345" s="61" t="n">
        <v>10.5</v>
      </c>
      <c r="G345" s="61" t="n">
        <v>10.5</v>
      </c>
      <c r="H345" s="60" t="n">
        <v>40</v>
      </c>
      <c r="I345" s="62" t="n">
        <f aca="false">IFERROR(F345*H345,"")</f>
        <v>420</v>
      </c>
      <c r="J345" s="60" t="n">
        <v>4.5</v>
      </c>
      <c r="K345" s="62" t="n">
        <f aca="false">IFERROR((F345-J345)*H345,"")</f>
        <v>240</v>
      </c>
      <c r="L345" s="63" t="n">
        <f aca="false">IFERROR(IF(F345&gt;0,LN(F345),""),"")</f>
        <v>2.35137525716348</v>
      </c>
      <c r="M345" s="63" t="n">
        <f aca="false">IFERROR(IF(H345&gt;0,LN(H345),""),"")</f>
        <v>3.68887945411394</v>
      </c>
    </row>
    <row r="346" customFormat="false" ht="15" hidden="false" customHeight="true" outlineLevel="0" collapsed="false">
      <c r="A346" s="60" t="n">
        <v>71</v>
      </c>
      <c r="B346" s="60" t="n">
        <v>1</v>
      </c>
      <c r="C346" s="60" t="s">
        <v>248</v>
      </c>
      <c r="D346" s="60" t="s">
        <v>79</v>
      </c>
      <c r="E346" s="60" t="s">
        <v>245</v>
      </c>
      <c r="F346" s="61" t="n">
        <v>9.45</v>
      </c>
      <c r="G346" s="61" t="n">
        <v>10.5</v>
      </c>
      <c r="H346" s="60" t="n">
        <v>35</v>
      </c>
      <c r="I346" s="62" t="n">
        <f aca="false">IFERROR(F346*H346,"")</f>
        <v>330.75</v>
      </c>
      <c r="J346" s="60" t="n">
        <v>4.5</v>
      </c>
      <c r="K346" s="62" t="n">
        <f aca="false">IFERROR((F346-J346)*H346,"")</f>
        <v>173.25</v>
      </c>
      <c r="L346" s="63" t="n">
        <f aca="false">IFERROR(IF(F346&gt;0,LN(F346),""),"")</f>
        <v>2.24601474150565</v>
      </c>
      <c r="M346" s="63" t="n">
        <f aca="false">IFERROR(IF(H346&gt;0,LN(H346),""),"")</f>
        <v>3.55534806148941</v>
      </c>
    </row>
    <row r="347" customFormat="false" ht="15" hidden="false" customHeight="true" outlineLevel="0" collapsed="false">
      <c r="A347" s="60" t="n">
        <v>72</v>
      </c>
      <c r="B347" s="60" t="n">
        <v>2</v>
      </c>
      <c r="C347" s="60" t="s">
        <v>248</v>
      </c>
      <c r="D347" s="60" t="s">
        <v>79</v>
      </c>
      <c r="E347" s="60" t="s">
        <v>245</v>
      </c>
      <c r="F347" s="61" t="n">
        <v>10.5</v>
      </c>
      <c r="G347" s="61" t="n">
        <v>10.5</v>
      </c>
      <c r="H347" s="60" t="n">
        <v>35</v>
      </c>
      <c r="I347" s="62" t="n">
        <f aca="false">IFERROR(F347*H347,"")</f>
        <v>367.5</v>
      </c>
      <c r="J347" s="60" t="n">
        <v>4.5</v>
      </c>
      <c r="K347" s="62" t="n">
        <f aca="false">IFERROR((F347-J347)*H347,"")</f>
        <v>210</v>
      </c>
      <c r="L347" s="63" t="n">
        <f aca="false">IFERROR(IF(F347&gt;0,LN(F347),""),"")</f>
        <v>2.35137525716348</v>
      </c>
      <c r="M347" s="63" t="n">
        <f aca="false">IFERROR(IF(H347&gt;0,LN(H347),""),"")</f>
        <v>3.55534806148941</v>
      </c>
    </row>
    <row r="348" customFormat="false" ht="15" hidden="false" customHeight="true" outlineLevel="0" collapsed="false">
      <c r="A348" s="60" t="n">
        <v>73</v>
      </c>
      <c r="B348" s="60" t="n">
        <v>3</v>
      </c>
      <c r="C348" s="60" t="s">
        <v>248</v>
      </c>
      <c r="D348" s="60" t="s">
        <v>79</v>
      </c>
      <c r="E348" s="60" t="s">
        <v>245</v>
      </c>
      <c r="F348" s="61" t="n">
        <v>10.5</v>
      </c>
      <c r="G348" s="61" t="n">
        <v>10.5</v>
      </c>
      <c r="H348" s="60" t="n">
        <v>47</v>
      </c>
      <c r="I348" s="62" t="n">
        <f aca="false">IFERROR(F348*H348,"")</f>
        <v>493.5</v>
      </c>
      <c r="J348" s="60" t="n">
        <v>4.5</v>
      </c>
      <c r="K348" s="62" t="n">
        <f aca="false">IFERROR((F348-J348)*H348,"")</f>
        <v>282</v>
      </c>
      <c r="L348" s="63" t="n">
        <f aca="false">IFERROR(IF(F348&gt;0,LN(F348),""),"")</f>
        <v>2.35137525716348</v>
      </c>
      <c r="M348" s="63" t="n">
        <f aca="false">IFERROR(IF(H348&gt;0,LN(H348),""),"")</f>
        <v>3.85014760171006</v>
      </c>
    </row>
    <row r="349" customFormat="false" ht="15" hidden="false" customHeight="true" outlineLevel="0" collapsed="false">
      <c r="A349" s="60" t="n">
        <v>74</v>
      </c>
      <c r="B349" s="60" t="n">
        <v>4</v>
      </c>
      <c r="C349" s="60" t="s">
        <v>248</v>
      </c>
      <c r="D349" s="60" t="s">
        <v>79</v>
      </c>
      <c r="E349" s="60" t="s">
        <v>245</v>
      </c>
      <c r="F349" s="61" t="n">
        <v>11.55</v>
      </c>
      <c r="G349" s="61" t="n">
        <v>10.5</v>
      </c>
      <c r="H349" s="60" t="n">
        <v>39</v>
      </c>
      <c r="I349" s="62" t="n">
        <f aca="false">IFERROR(F349*H349,"")</f>
        <v>450.45</v>
      </c>
      <c r="J349" s="60" t="n">
        <v>4.5</v>
      </c>
      <c r="K349" s="62" t="n">
        <f aca="false">IFERROR((F349-J349)*H349,"")</f>
        <v>274.95</v>
      </c>
      <c r="L349" s="63" t="n">
        <f aca="false">IFERROR(IF(F349&gt;0,LN(F349),""),"")</f>
        <v>2.4466854369678</v>
      </c>
      <c r="M349" s="63" t="n">
        <f aca="false">IFERROR(IF(H349&gt;0,LN(H349),""),"")</f>
        <v>3.66356164612965</v>
      </c>
    </row>
    <row r="350" customFormat="false" ht="15" hidden="false" customHeight="true" outlineLevel="0" collapsed="false">
      <c r="A350" s="60" t="n">
        <v>75</v>
      </c>
      <c r="B350" s="60" t="n">
        <v>5</v>
      </c>
      <c r="C350" s="60" t="s">
        <v>248</v>
      </c>
      <c r="D350" s="60" t="s">
        <v>79</v>
      </c>
      <c r="E350" s="60" t="s">
        <v>245</v>
      </c>
      <c r="F350" s="61" t="n">
        <v>10.5</v>
      </c>
      <c r="G350" s="61" t="n">
        <v>10.5</v>
      </c>
      <c r="H350" s="60" t="n">
        <v>34</v>
      </c>
      <c r="I350" s="62" t="n">
        <f aca="false">IFERROR(F350*H350,"")</f>
        <v>357</v>
      </c>
      <c r="J350" s="60" t="n">
        <v>4.5</v>
      </c>
      <c r="K350" s="62" t="n">
        <f aca="false">IFERROR((F350-J350)*H350,"")</f>
        <v>204</v>
      </c>
      <c r="L350" s="63" t="n">
        <f aca="false">IFERROR(IF(F350&gt;0,LN(F350),""),"")</f>
        <v>2.35137525716348</v>
      </c>
      <c r="M350" s="63" t="n">
        <f aca="false">IFERROR(IF(H350&gt;0,LN(H350),""),"")</f>
        <v>3.52636052461616</v>
      </c>
    </row>
    <row r="351" customFormat="false" ht="15" hidden="false" customHeight="true" outlineLevel="0" collapsed="false">
      <c r="A351" s="60" t="n">
        <v>76</v>
      </c>
      <c r="B351" s="60" t="n">
        <v>6</v>
      </c>
      <c r="C351" s="60" t="s">
        <v>248</v>
      </c>
      <c r="D351" s="60" t="s">
        <v>79</v>
      </c>
      <c r="E351" s="60" t="s">
        <v>245</v>
      </c>
      <c r="F351" s="61" t="n">
        <v>11.55</v>
      </c>
      <c r="G351" s="61" t="n">
        <v>10.5</v>
      </c>
      <c r="H351" s="60" t="n">
        <v>27</v>
      </c>
      <c r="I351" s="62" t="n">
        <f aca="false">IFERROR(F351*H351,"")</f>
        <v>311.85</v>
      </c>
      <c r="J351" s="60" t="n">
        <v>4.5</v>
      </c>
      <c r="K351" s="62" t="n">
        <f aca="false">IFERROR((F351-J351)*H351,"")</f>
        <v>190.35</v>
      </c>
      <c r="L351" s="63" t="n">
        <f aca="false">IFERROR(IF(F351&gt;0,LN(F351),""),"")</f>
        <v>2.4466854369678</v>
      </c>
      <c r="M351" s="63" t="n">
        <f aca="false">IFERROR(IF(H351&gt;0,LN(H351),""),"")</f>
        <v>3.29583686600433</v>
      </c>
    </row>
    <row r="352" customFormat="false" ht="15" hidden="false" customHeight="true" outlineLevel="0" collapsed="false">
      <c r="A352" s="60" t="n">
        <v>77</v>
      </c>
      <c r="B352" s="60" t="n">
        <v>7</v>
      </c>
      <c r="C352" s="60" t="s">
        <v>248</v>
      </c>
      <c r="D352" s="60" t="s">
        <v>79</v>
      </c>
      <c r="E352" s="60" t="s">
        <v>245</v>
      </c>
      <c r="F352" s="61" t="n">
        <v>11.03</v>
      </c>
      <c r="G352" s="61" t="n">
        <v>10.5</v>
      </c>
      <c r="H352" s="60" t="n">
        <v>37</v>
      </c>
      <c r="I352" s="62" t="n">
        <f aca="false">IFERROR(F352*H352,"")</f>
        <v>408.11</v>
      </c>
      <c r="J352" s="60" t="n">
        <v>4.5</v>
      </c>
      <c r="K352" s="62" t="n">
        <f aca="false">IFERROR((F352-J352)*H352,"")</f>
        <v>241.61</v>
      </c>
      <c r="L352" s="63" t="n">
        <f aca="false">IFERROR(IF(F352&gt;0,LN(F352),""),"")</f>
        <v>2.40061883326541</v>
      </c>
      <c r="M352" s="63" t="n">
        <f aca="false">IFERROR(IF(H352&gt;0,LN(H352),""),"")</f>
        <v>3.61091791264422</v>
      </c>
    </row>
    <row r="353" customFormat="false" ht="15" hidden="false" customHeight="true" outlineLevel="0" collapsed="false">
      <c r="A353" s="60" t="n">
        <v>78</v>
      </c>
      <c r="B353" s="60" t="n">
        <v>1</v>
      </c>
      <c r="C353" s="60" t="s">
        <v>248</v>
      </c>
      <c r="D353" s="60" t="s">
        <v>79</v>
      </c>
      <c r="E353" s="60" t="s">
        <v>245</v>
      </c>
      <c r="F353" s="61" t="n">
        <v>11.03</v>
      </c>
      <c r="G353" s="61" t="n">
        <v>10.5</v>
      </c>
      <c r="H353" s="60" t="n">
        <v>32</v>
      </c>
      <c r="I353" s="62" t="n">
        <f aca="false">IFERROR(F353*H353,"")</f>
        <v>352.96</v>
      </c>
      <c r="J353" s="60" t="n">
        <v>4.5</v>
      </c>
      <c r="K353" s="62" t="n">
        <f aca="false">IFERROR((F353-J353)*H353,"")</f>
        <v>208.96</v>
      </c>
      <c r="L353" s="63" t="n">
        <f aca="false">IFERROR(IF(F353&gt;0,LN(F353),""),"")</f>
        <v>2.40061883326541</v>
      </c>
      <c r="M353" s="63" t="n">
        <f aca="false">IFERROR(IF(H353&gt;0,LN(H353),""),"")</f>
        <v>3.46573590279973</v>
      </c>
    </row>
    <row r="354" customFormat="false" ht="15" hidden="false" customHeight="true" outlineLevel="0" collapsed="false">
      <c r="A354" s="60" t="n">
        <v>79</v>
      </c>
      <c r="B354" s="60" t="n">
        <v>2</v>
      </c>
      <c r="C354" s="60" t="s">
        <v>248</v>
      </c>
      <c r="D354" s="60" t="s">
        <v>79</v>
      </c>
      <c r="E354" s="60" t="s">
        <v>245</v>
      </c>
      <c r="F354" s="61" t="n">
        <v>10.5</v>
      </c>
      <c r="G354" s="61" t="n">
        <v>10.5</v>
      </c>
      <c r="H354" s="60" t="n">
        <v>27</v>
      </c>
      <c r="I354" s="62" t="n">
        <f aca="false">IFERROR(F354*H354,"")</f>
        <v>283.5</v>
      </c>
      <c r="J354" s="60" t="n">
        <v>4.5</v>
      </c>
      <c r="K354" s="62" t="n">
        <f aca="false">IFERROR((F354-J354)*H354,"")</f>
        <v>162</v>
      </c>
      <c r="L354" s="63" t="n">
        <f aca="false">IFERROR(IF(F354&gt;0,LN(F354),""),"")</f>
        <v>2.35137525716348</v>
      </c>
      <c r="M354" s="63" t="n">
        <f aca="false">IFERROR(IF(H354&gt;0,LN(H354),""),"")</f>
        <v>3.29583686600433</v>
      </c>
    </row>
    <row r="355" customFormat="false" ht="15" hidden="false" customHeight="true" outlineLevel="0" collapsed="false">
      <c r="A355" s="60" t="n">
        <v>80</v>
      </c>
      <c r="B355" s="60" t="n">
        <v>3</v>
      </c>
      <c r="C355" s="60" t="s">
        <v>248</v>
      </c>
      <c r="D355" s="60" t="s">
        <v>79</v>
      </c>
      <c r="E355" s="60" t="s">
        <v>245</v>
      </c>
      <c r="F355" s="61" t="n">
        <v>11.03</v>
      </c>
      <c r="G355" s="61" t="n">
        <v>10.5</v>
      </c>
      <c r="H355" s="60" t="n">
        <v>35</v>
      </c>
      <c r="I355" s="62" t="n">
        <f aca="false">IFERROR(F355*H355,"")</f>
        <v>386.05</v>
      </c>
      <c r="J355" s="60" t="n">
        <v>4.5</v>
      </c>
      <c r="K355" s="62" t="n">
        <f aca="false">IFERROR((F355-J355)*H355,"")</f>
        <v>228.55</v>
      </c>
      <c r="L355" s="63" t="n">
        <f aca="false">IFERROR(IF(F355&gt;0,LN(F355),""),"")</f>
        <v>2.40061883326541</v>
      </c>
      <c r="M355" s="63" t="n">
        <f aca="false">IFERROR(IF(H355&gt;0,LN(H355),""),"")</f>
        <v>3.55534806148941</v>
      </c>
    </row>
    <row r="356" customFormat="false" ht="15" hidden="false" customHeight="true" outlineLevel="0" collapsed="false">
      <c r="A356" s="60" t="n">
        <v>81</v>
      </c>
      <c r="B356" s="60" t="n">
        <v>4</v>
      </c>
      <c r="C356" s="60" t="s">
        <v>248</v>
      </c>
      <c r="D356" s="60" t="s">
        <v>79</v>
      </c>
      <c r="E356" s="60" t="s">
        <v>245</v>
      </c>
      <c r="F356" s="61" t="n">
        <v>10.5</v>
      </c>
      <c r="G356" s="61" t="n">
        <v>10.5</v>
      </c>
      <c r="H356" s="60" t="n">
        <v>33</v>
      </c>
      <c r="I356" s="62" t="n">
        <f aca="false">IFERROR(F356*H356,"")</f>
        <v>346.5</v>
      </c>
      <c r="J356" s="60" t="n">
        <v>4.5</v>
      </c>
      <c r="K356" s="62" t="n">
        <f aca="false">IFERROR((F356-J356)*H356,"")</f>
        <v>198</v>
      </c>
      <c r="L356" s="63" t="n">
        <f aca="false">IFERROR(IF(F356&gt;0,LN(F356),""),"")</f>
        <v>2.35137525716348</v>
      </c>
      <c r="M356" s="63" t="n">
        <f aca="false">IFERROR(IF(H356&gt;0,LN(H356),""),"")</f>
        <v>3.49650756146648</v>
      </c>
    </row>
    <row r="357" customFormat="false" ht="15" hidden="false" customHeight="true" outlineLevel="0" collapsed="false">
      <c r="A357" s="60" t="n">
        <v>82</v>
      </c>
      <c r="B357" s="60" t="n">
        <v>5</v>
      </c>
      <c r="C357" s="60" t="s">
        <v>248</v>
      </c>
      <c r="D357" s="60" t="s">
        <v>79</v>
      </c>
      <c r="E357" s="60" t="s">
        <v>245</v>
      </c>
      <c r="F357" s="61" t="n">
        <v>9.45</v>
      </c>
      <c r="G357" s="61" t="n">
        <v>10.5</v>
      </c>
      <c r="H357" s="60" t="n">
        <v>44</v>
      </c>
      <c r="I357" s="62" t="n">
        <f aca="false">IFERROR(F357*H357,"")</f>
        <v>415.8</v>
      </c>
      <c r="J357" s="60" t="n">
        <v>4.5</v>
      </c>
      <c r="K357" s="62" t="n">
        <f aca="false">IFERROR((F357-J357)*H357,"")</f>
        <v>217.8</v>
      </c>
      <c r="L357" s="63" t="n">
        <f aca="false">IFERROR(IF(F357&gt;0,LN(F357),""),"")</f>
        <v>2.24601474150565</v>
      </c>
      <c r="M357" s="63" t="n">
        <f aca="false">IFERROR(IF(H357&gt;0,LN(H357),""),"")</f>
        <v>3.78418963391826</v>
      </c>
    </row>
    <row r="358" customFormat="false" ht="15" hidden="false" customHeight="true" outlineLevel="0" collapsed="false">
      <c r="A358" s="60" t="n">
        <v>83</v>
      </c>
      <c r="B358" s="60" t="n">
        <v>6</v>
      </c>
      <c r="C358" s="60" t="s">
        <v>248</v>
      </c>
      <c r="D358" s="60" t="s">
        <v>79</v>
      </c>
      <c r="E358" s="60" t="s">
        <v>245</v>
      </c>
      <c r="F358" s="61" t="n">
        <v>10.5</v>
      </c>
      <c r="G358" s="61" t="n">
        <v>10.5</v>
      </c>
      <c r="H358" s="60" t="n">
        <v>38</v>
      </c>
      <c r="I358" s="62" t="n">
        <f aca="false">IFERROR(F358*H358,"")</f>
        <v>399</v>
      </c>
      <c r="J358" s="60" t="n">
        <v>4.5</v>
      </c>
      <c r="K358" s="62" t="n">
        <f aca="false">IFERROR((F358-J358)*H358,"")</f>
        <v>228</v>
      </c>
      <c r="L358" s="63" t="n">
        <f aca="false">IFERROR(IF(F358&gt;0,LN(F358),""),"")</f>
        <v>2.35137525716348</v>
      </c>
      <c r="M358" s="63" t="n">
        <f aca="false">IFERROR(IF(H358&gt;0,LN(H358),""),"")</f>
        <v>3.63758615972639</v>
      </c>
    </row>
    <row r="359" customFormat="false" ht="15" hidden="false" customHeight="true" outlineLevel="0" collapsed="false">
      <c r="A359" s="60" t="n">
        <v>84</v>
      </c>
      <c r="B359" s="60" t="n">
        <v>7</v>
      </c>
      <c r="C359" s="60" t="s">
        <v>248</v>
      </c>
      <c r="D359" s="60" t="s">
        <v>79</v>
      </c>
      <c r="E359" s="60" t="s">
        <v>245</v>
      </c>
      <c r="F359" s="61" t="n">
        <v>10.5</v>
      </c>
      <c r="G359" s="61" t="n">
        <v>10.5</v>
      </c>
      <c r="H359" s="60" t="n">
        <v>32</v>
      </c>
      <c r="I359" s="62" t="n">
        <f aca="false">IFERROR(F359*H359,"")</f>
        <v>336</v>
      </c>
      <c r="J359" s="60" t="n">
        <v>4.5</v>
      </c>
      <c r="K359" s="62" t="n">
        <f aca="false">IFERROR((F359-J359)*H359,"")</f>
        <v>192</v>
      </c>
      <c r="L359" s="63" t="n">
        <f aca="false">IFERROR(IF(F359&gt;0,LN(F359),""),"")</f>
        <v>2.35137525716348</v>
      </c>
      <c r="M359" s="63" t="n">
        <f aca="false">IFERROR(IF(H359&gt;0,LN(H359),""),"")</f>
        <v>3.46573590279973</v>
      </c>
    </row>
    <row r="360" customFormat="false" ht="15" hidden="false" customHeight="true" outlineLevel="0" collapsed="false">
      <c r="A360" s="60" t="n">
        <v>85</v>
      </c>
      <c r="B360" s="60" t="n">
        <v>1</v>
      </c>
      <c r="C360" s="60" t="s">
        <v>248</v>
      </c>
      <c r="D360" s="60" t="s">
        <v>79</v>
      </c>
      <c r="E360" s="60" t="s">
        <v>245</v>
      </c>
      <c r="F360" s="61" t="n">
        <v>11.03</v>
      </c>
      <c r="G360" s="61" t="n">
        <v>10.5</v>
      </c>
      <c r="H360" s="60" t="n">
        <v>29</v>
      </c>
      <c r="I360" s="62" t="n">
        <f aca="false">IFERROR(F360*H360,"")</f>
        <v>319.87</v>
      </c>
      <c r="J360" s="60" t="n">
        <v>4.5</v>
      </c>
      <c r="K360" s="62" t="n">
        <f aca="false">IFERROR((F360-J360)*H360,"")</f>
        <v>189.37</v>
      </c>
      <c r="L360" s="63" t="n">
        <f aca="false">IFERROR(IF(F360&gt;0,LN(F360),""),"")</f>
        <v>2.40061883326541</v>
      </c>
      <c r="M360" s="63" t="n">
        <f aca="false">IFERROR(IF(H360&gt;0,LN(H360),""),"")</f>
        <v>3.36729582998647</v>
      </c>
    </row>
    <row r="361" customFormat="false" ht="15" hidden="false" customHeight="true" outlineLevel="0" collapsed="false">
      <c r="A361" s="60" t="n">
        <v>86</v>
      </c>
      <c r="B361" s="60" t="n">
        <v>2</v>
      </c>
      <c r="C361" s="60" t="s">
        <v>248</v>
      </c>
      <c r="D361" s="60" t="s">
        <v>79</v>
      </c>
      <c r="E361" s="60" t="s">
        <v>245</v>
      </c>
      <c r="F361" s="61" t="n">
        <v>9.45</v>
      </c>
      <c r="G361" s="61" t="n">
        <v>10.5</v>
      </c>
      <c r="H361" s="60" t="n">
        <v>36</v>
      </c>
      <c r="I361" s="62" t="n">
        <f aca="false">IFERROR(F361*H361,"")</f>
        <v>340.2</v>
      </c>
      <c r="J361" s="60" t="n">
        <v>4.5</v>
      </c>
      <c r="K361" s="62" t="n">
        <f aca="false">IFERROR((F361-J361)*H361,"")</f>
        <v>178.2</v>
      </c>
      <c r="L361" s="63" t="n">
        <f aca="false">IFERROR(IF(F361&gt;0,LN(F361),""),"")</f>
        <v>2.24601474150565</v>
      </c>
      <c r="M361" s="63" t="n">
        <f aca="false">IFERROR(IF(H361&gt;0,LN(H361),""),"")</f>
        <v>3.58351893845611</v>
      </c>
    </row>
    <row r="362" customFormat="false" ht="15" hidden="false" customHeight="true" outlineLevel="0" collapsed="false">
      <c r="A362" s="60" t="n">
        <v>87</v>
      </c>
      <c r="B362" s="60" t="n">
        <v>3</v>
      </c>
      <c r="C362" s="60" t="s">
        <v>248</v>
      </c>
      <c r="D362" s="60" t="s">
        <v>79</v>
      </c>
      <c r="E362" s="60" t="s">
        <v>245</v>
      </c>
      <c r="F362" s="61" t="n">
        <v>10.5</v>
      </c>
      <c r="G362" s="61" t="n">
        <v>10.5</v>
      </c>
      <c r="H362" s="60" t="n">
        <v>37</v>
      </c>
      <c r="I362" s="62" t="n">
        <f aca="false">IFERROR(F362*H362,"")</f>
        <v>388.5</v>
      </c>
      <c r="J362" s="60" t="n">
        <v>4.5</v>
      </c>
      <c r="K362" s="62" t="n">
        <f aca="false">IFERROR((F362-J362)*H362,"")</f>
        <v>222</v>
      </c>
      <c r="L362" s="63" t="n">
        <f aca="false">IFERROR(IF(F362&gt;0,LN(F362),""),"")</f>
        <v>2.35137525716348</v>
      </c>
      <c r="M362" s="63" t="n">
        <f aca="false">IFERROR(IF(H362&gt;0,LN(H362),""),"")</f>
        <v>3.61091791264422</v>
      </c>
    </row>
    <row r="363" customFormat="false" ht="15" hidden="false" customHeight="true" outlineLevel="0" collapsed="false">
      <c r="A363" s="60" t="n">
        <v>88</v>
      </c>
      <c r="B363" s="60" t="n">
        <v>4</v>
      </c>
      <c r="C363" s="60" t="s">
        <v>248</v>
      </c>
      <c r="D363" s="60" t="s">
        <v>79</v>
      </c>
      <c r="E363" s="60" t="s">
        <v>245</v>
      </c>
      <c r="F363" s="61" t="n">
        <v>9.97</v>
      </c>
      <c r="G363" s="61" t="n">
        <v>10.5</v>
      </c>
      <c r="H363" s="60" t="n">
        <v>34</v>
      </c>
      <c r="I363" s="62" t="n">
        <f aca="false">IFERROR(F363*H363,"")</f>
        <v>338.98</v>
      </c>
      <c r="J363" s="60" t="n">
        <v>4.5</v>
      </c>
      <c r="K363" s="62" t="n">
        <f aca="false">IFERROR((F363-J363)*H363,"")</f>
        <v>185.98</v>
      </c>
      <c r="L363" s="63" t="n">
        <f aca="false">IFERROR(IF(F363&gt;0,LN(F363),""),"")</f>
        <v>2.29958058397375</v>
      </c>
      <c r="M363" s="63" t="n">
        <f aca="false">IFERROR(IF(H363&gt;0,LN(H363),""),"")</f>
        <v>3.52636052461616</v>
      </c>
    </row>
    <row r="364" customFormat="false" ht="15" hidden="false" customHeight="true" outlineLevel="0" collapsed="false">
      <c r="A364" s="60" t="n">
        <v>89</v>
      </c>
      <c r="B364" s="60" t="n">
        <v>5</v>
      </c>
      <c r="C364" s="60" t="s">
        <v>248</v>
      </c>
      <c r="D364" s="60" t="s">
        <v>79</v>
      </c>
      <c r="E364" s="60" t="s">
        <v>245</v>
      </c>
      <c r="F364" s="61" t="n">
        <v>10.5</v>
      </c>
      <c r="G364" s="61" t="n">
        <v>10.5</v>
      </c>
      <c r="H364" s="60" t="n">
        <v>36</v>
      </c>
      <c r="I364" s="62" t="n">
        <f aca="false">IFERROR(F364*H364,"")</f>
        <v>378</v>
      </c>
      <c r="J364" s="60" t="n">
        <v>4.5</v>
      </c>
      <c r="K364" s="62" t="n">
        <f aca="false">IFERROR((F364-J364)*H364,"")</f>
        <v>216</v>
      </c>
      <c r="L364" s="63" t="n">
        <f aca="false">IFERROR(IF(F364&gt;0,LN(F364),""),"")</f>
        <v>2.35137525716348</v>
      </c>
      <c r="M364" s="63" t="n">
        <f aca="false">IFERROR(IF(H364&gt;0,LN(H364),""),"")</f>
        <v>3.58351893845611</v>
      </c>
    </row>
    <row r="365" customFormat="false" ht="15" hidden="false" customHeight="true" outlineLevel="0" collapsed="false">
      <c r="A365" s="60" t="n">
        <v>90</v>
      </c>
      <c r="B365" s="60" t="n">
        <v>6</v>
      </c>
      <c r="C365" s="60" t="s">
        <v>248</v>
      </c>
      <c r="D365" s="60" t="s">
        <v>79</v>
      </c>
      <c r="E365" s="60" t="s">
        <v>245</v>
      </c>
      <c r="F365" s="61" t="n">
        <v>11.03</v>
      </c>
      <c r="G365" s="61" t="n">
        <v>10.5</v>
      </c>
      <c r="H365" s="60" t="n">
        <v>29</v>
      </c>
      <c r="I365" s="62" t="n">
        <f aca="false">IFERROR(F365*H365,"")</f>
        <v>319.87</v>
      </c>
      <c r="J365" s="60" t="n">
        <v>4.5</v>
      </c>
      <c r="K365" s="62" t="n">
        <f aca="false">IFERROR((F365-J365)*H365,"")</f>
        <v>189.37</v>
      </c>
      <c r="L365" s="63" t="n">
        <f aca="false">IFERROR(IF(F365&gt;0,LN(F365),""),"")</f>
        <v>2.40061883326541</v>
      </c>
      <c r="M365" s="63" t="n">
        <f aca="false">IFERROR(IF(H365&gt;0,LN(H365),""),"")</f>
        <v>3.36729582998647</v>
      </c>
    </row>
    <row r="366" customFormat="false" ht="15" hidden="false" customHeight="true" outlineLevel="0" collapsed="false">
      <c r="A366" s="60" t="n">
        <v>1</v>
      </c>
      <c r="B366" s="60" t="n">
        <v>1</v>
      </c>
      <c r="C366" s="60" t="s">
        <v>249</v>
      </c>
      <c r="D366" s="60" t="s">
        <v>81</v>
      </c>
      <c r="E366" s="60" t="s">
        <v>245</v>
      </c>
      <c r="F366" s="61" t="n">
        <v>9.68</v>
      </c>
      <c r="G366" s="61" t="n">
        <v>8.8</v>
      </c>
      <c r="H366" s="60" t="n">
        <v>26</v>
      </c>
      <c r="I366" s="62" t="n">
        <f aca="false">IFERROR(F366*H366,"")</f>
        <v>251.68</v>
      </c>
      <c r="J366" s="60" t="n">
        <v>3.5</v>
      </c>
      <c r="K366" s="62" t="n">
        <f aca="false">IFERROR((F366-J366)*H366,"")</f>
        <v>160.68</v>
      </c>
      <c r="L366" s="63" t="n">
        <f aca="false">IFERROR(IF(F366&gt;0,LN(F366),""),"")</f>
        <v>2.27006190128849</v>
      </c>
      <c r="M366" s="63" t="n">
        <f aca="false">IFERROR(IF(H366&gt;0,LN(H366),""),"")</f>
        <v>3.25809653802148</v>
      </c>
    </row>
    <row r="367" customFormat="false" ht="15" hidden="false" customHeight="true" outlineLevel="0" collapsed="false">
      <c r="A367" s="60" t="n">
        <v>2</v>
      </c>
      <c r="B367" s="60" t="n">
        <v>2</v>
      </c>
      <c r="C367" s="60" t="s">
        <v>249</v>
      </c>
      <c r="D367" s="60" t="s">
        <v>81</v>
      </c>
      <c r="E367" s="60" t="s">
        <v>245</v>
      </c>
      <c r="F367" s="61" t="n">
        <v>9.24</v>
      </c>
      <c r="G367" s="61" t="n">
        <v>8.8</v>
      </c>
      <c r="H367" s="60" t="n">
        <v>21</v>
      </c>
      <c r="I367" s="62" t="n">
        <f aca="false">IFERROR(F367*H367,"")</f>
        <v>194.04</v>
      </c>
      <c r="J367" s="60" t="n">
        <v>3.5</v>
      </c>
      <c r="K367" s="62" t="n">
        <f aca="false">IFERROR((F367-J367)*H367,"")</f>
        <v>120.54</v>
      </c>
      <c r="L367" s="63" t="n">
        <f aca="false">IFERROR(IF(F367&gt;0,LN(F367),""),"")</f>
        <v>2.22354188565359</v>
      </c>
      <c r="M367" s="63" t="n">
        <f aca="false">IFERROR(IF(H367&gt;0,LN(H367),""),"")</f>
        <v>3.04452243772342</v>
      </c>
    </row>
    <row r="368" customFormat="false" ht="15" hidden="false" customHeight="true" outlineLevel="0" collapsed="false">
      <c r="A368" s="60" t="n">
        <v>3</v>
      </c>
      <c r="B368" s="60" t="n">
        <v>3</v>
      </c>
      <c r="C368" s="60" t="s">
        <v>249</v>
      </c>
      <c r="D368" s="60" t="s">
        <v>81</v>
      </c>
      <c r="E368" s="60" t="s">
        <v>245</v>
      </c>
      <c r="F368" s="61" t="n">
        <v>8.36</v>
      </c>
      <c r="G368" s="61" t="n">
        <v>8.8</v>
      </c>
      <c r="H368" s="60" t="n">
        <v>32</v>
      </c>
      <c r="I368" s="62" t="n">
        <f aca="false">IFERROR(F368*H368,"")</f>
        <v>267.52</v>
      </c>
      <c r="J368" s="60" t="n">
        <v>3.5</v>
      </c>
      <c r="K368" s="62" t="n">
        <f aca="false">IFERROR((F368-J368)*H368,"")</f>
        <v>155.52</v>
      </c>
      <c r="L368" s="63" t="n">
        <f aca="false">IFERROR(IF(F368&gt;0,LN(F368),""),"")</f>
        <v>2.12345842709661</v>
      </c>
      <c r="M368" s="63" t="n">
        <f aca="false">IFERROR(IF(H368&gt;0,LN(H368),""),"")</f>
        <v>3.46573590279973</v>
      </c>
    </row>
    <row r="369" customFormat="false" ht="15" hidden="false" customHeight="true" outlineLevel="0" collapsed="false">
      <c r="A369" s="60" t="n">
        <v>4</v>
      </c>
      <c r="B369" s="60" t="n">
        <v>4</v>
      </c>
      <c r="C369" s="60" t="s">
        <v>249</v>
      </c>
      <c r="D369" s="60" t="s">
        <v>81</v>
      </c>
      <c r="E369" s="60" t="s">
        <v>245</v>
      </c>
      <c r="F369" s="61" t="n">
        <v>8.8</v>
      </c>
      <c r="G369" s="61" t="n">
        <v>8.8</v>
      </c>
      <c r="H369" s="60" t="n">
        <v>28</v>
      </c>
      <c r="I369" s="62" t="n">
        <f aca="false">IFERROR(F369*H369,"")</f>
        <v>246.4</v>
      </c>
      <c r="J369" s="60" t="n">
        <v>3.5</v>
      </c>
      <c r="K369" s="62" t="n">
        <f aca="false">IFERROR((F369-J369)*H369,"")</f>
        <v>148.4</v>
      </c>
      <c r="L369" s="63" t="n">
        <f aca="false">IFERROR(IF(F369&gt;0,LN(F369),""),"")</f>
        <v>2.17475172148416</v>
      </c>
      <c r="M369" s="63" t="n">
        <f aca="false">IFERROR(IF(H369&gt;0,LN(H369),""),"")</f>
        <v>3.3322045101752</v>
      </c>
    </row>
    <row r="370" customFormat="false" ht="15" hidden="false" customHeight="true" outlineLevel="0" collapsed="false">
      <c r="A370" s="60" t="n">
        <v>5</v>
      </c>
      <c r="B370" s="60" t="n">
        <v>5</v>
      </c>
      <c r="C370" s="60" t="s">
        <v>249</v>
      </c>
      <c r="D370" s="60" t="s">
        <v>81</v>
      </c>
      <c r="E370" s="60" t="s">
        <v>245</v>
      </c>
      <c r="F370" s="61" t="n">
        <v>9.24</v>
      </c>
      <c r="G370" s="61" t="n">
        <v>8.8</v>
      </c>
      <c r="H370" s="60" t="n">
        <v>24</v>
      </c>
      <c r="I370" s="62" t="n">
        <f aca="false">IFERROR(F370*H370,"")</f>
        <v>221.76</v>
      </c>
      <c r="J370" s="60" t="n">
        <v>3.5</v>
      </c>
      <c r="K370" s="62" t="n">
        <f aca="false">IFERROR((F370-J370)*H370,"")</f>
        <v>137.76</v>
      </c>
      <c r="L370" s="63" t="n">
        <f aca="false">IFERROR(IF(F370&gt;0,LN(F370),""),"")</f>
        <v>2.22354188565359</v>
      </c>
      <c r="M370" s="63" t="n">
        <f aca="false">IFERROR(IF(H370&gt;0,LN(H370),""),"")</f>
        <v>3.17805383034795</v>
      </c>
    </row>
    <row r="371" customFormat="false" ht="15" hidden="false" customHeight="true" outlineLevel="0" collapsed="false">
      <c r="A371" s="60" t="n">
        <v>6</v>
      </c>
      <c r="B371" s="60" t="n">
        <v>6</v>
      </c>
      <c r="C371" s="60" t="s">
        <v>249</v>
      </c>
      <c r="D371" s="60" t="s">
        <v>81</v>
      </c>
      <c r="E371" s="60" t="s">
        <v>245</v>
      </c>
      <c r="F371" s="61" t="n">
        <v>9.68</v>
      </c>
      <c r="G371" s="61" t="n">
        <v>8.8</v>
      </c>
      <c r="H371" s="60" t="n">
        <v>18</v>
      </c>
      <c r="I371" s="62" t="n">
        <f aca="false">IFERROR(F371*H371,"")</f>
        <v>174.24</v>
      </c>
      <c r="J371" s="60" t="n">
        <v>3.5</v>
      </c>
      <c r="K371" s="62" t="n">
        <f aca="false">IFERROR((F371-J371)*H371,"")</f>
        <v>111.24</v>
      </c>
      <c r="L371" s="63" t="n">
        <f aca="false">IFERROR(IF(F371&gt;0,LN(F371),""),"")</f>
        <v>2.27006190128849</v>
      </c>
      <c r="M371" s="63" t="n">
        <f aca="false">IFERROR(IF(H371&gt;0,LN(H371),""),"")</f>
        <v>2.89037175789616</v>
      </c>
    </row>
    <row r="372" customFormat="false" ht="15" hidden="false" customHeight="true" outlineLevel="0" collapsed="false">
      <c r="A372" s="60" t="n">
        <v>7</v>
      </c>
      <c r="B372" s="60" t="n">
        <v>7</v>
      </c>
      <c r="C372" s="60" t="s">
        <v>249</v>
      </c>
      <c r="D372" s="60" t="s">
        <v>81</v>
      </c>
      <c r="E372" s="60" t="s">
        <v>245</v>
      </c>
      <c r="F372" s="61" t="n">
        <v>9.68</v>
      </c>
      <c r="G372" s="61" t="n">
        <v>8.8</v>
      </c>
      <c r="H372" s="60" t="n">
        <v>17</v>
      </c>
      <c r="I372" s="62" t="n">
        <f aca="false">IFERROR(F372*H372,"")</f>
        <v>164.56</v>
      </c>
      <c r="J372" s="60" t="n">
        <v>3.5</v>
      </c>
      <c r="K372" s="62" t="n">
        <f aca="false">IFERROR((F372-J372)*H372,"")</f>
        <v>105.06</v>
      </c>
      <c r="L372" s="63" t="n">
        <f aca="false">IFERROR(IF(F372&gt;0,LN(F372),""),"")</f>
        <v>2.27006190128849</v>
      </c>
      <c r="M372" s="63" t="n">
        <f aca="false">IFERROR(IF(H372&gt;0,LN(H372),""),"")</f>
        <v>2.83321334405622</v>
      </c>
    </row>
    <row r="373" customFormat="false" ht="15" hidden="false" customHeight="true" outlineLevel="0" collapsed="false">
      <c r="A373" s="60" t="n">
        <v>8</v>
      </c>
      <c r="B373" s="60" t="n">
        <v>1</v>
      </c>
      <c r="C373" s="60" t="s">
        <v>249</v>
      </c>
      <c r="D373" s="60" t="s">
        <v>81</v>
      </c>
      <c r="E373" s="60" t="s">
        <v>245</v>
      </c>
      <c r="F373" s="61" t="n">
        <v>7.92</v>
      </c>
      <c r="G373" s="61" t="n">
        <v>8.8</v>
      </c>
      <c r="H373" s="60" t="n">
        <v>28</v>
      </c>
      <c r="I373" s="62" t="n">
        <f aca="false">IFERROR(F373*H373,"")</f>
        <v>221.76</v>
      </c>
      <c r="J373" s="60" t="n">
        <v>3.5</v>
      </c>
      <c r="K373" s="62" t="n">
        <f aca="false">IFERROR((F373-J373)*H373,"")</f>
        <v>123.76</v>
      </c>
      <c r="L373" s="63" t="n">
        <f aca="false">IFERROR(IF(F373&gt;0,LN(F373),""),"")</f>
        <v>2.06939120582633</v>
      </c>
      <c r="M373" s="63" t="n">
        <f aca="false">IFERROR(IF(H373&gt;0,LN(H373),""),"")</f>
        <v>3.3322045101752</v>
      </c>
    </row>
    <row r="374" customFormat="false" ht="15" hidden="false" customHeight="true" outlineLevel="0" collapsed="false">
      <c r="A374" s="60" t="n">
        <v>9</v>
      </c>
      <c r="B374" s="60" t="n">
        <v>2</v>
      </c>
      <c r="C374" s="60" t="s">
        <v>249</v>
      </c>
      <c r="D374" s="60" t="s">
        <v>81</v>
      </c>
      <c r="E374" s="60" t="s">
        <v>245</v>
      </c>
      <c r="F374" s="61" t="n">
        <v>8.8</v>
      </c>
      <c r="G374" s="61" t="n">
        <v>8.8</v>
      </c>
      <c r="H374" s="60" t="n">
        <v>26</v>
      </c>
      <c r="I374" s="62" t="n">
        <f aca="false">IFERROR(F374*H374,"")</f>
        <v>228.8</v>
      </c>
      <c r="J374" s="60" t="n">
        <v>3.5</v>
      </c>
      <c r="K374" s="62" t="n">
        <f aca="false">IFERROR((F374-J374)*H374,"")</f>
        <v>137.8</v>
      </c>
      <c r="L374" s="63" t="n">
        <f aca="false">IFERROR(IF(F374&gt;0,LN(F374),""),"")</f>
        <v>2.17475172148416</v>
      </c>
      <c r="M374" s="63" t="n">
        <f aca="false">IFERROR(IF(H374&gt;0,LN(H374),""),"")</f>
        <v>3.25809653802148</v>
      </c>
    </row>
    <row r="375" customFormat="false" ht="15" hidden="false" customHeight="true" outlineLevel="0" collapsed="false">
      <c r="A375" s="60" t="n">
        <v>10</v>
      </c>
      <c r="B375" s="60" t="n">
        <v>3</v>
      </c>
      <c r="C375" s="60" t="s">
        <v>249</v>
      </c>
      <c r="D375" s="60" t="s">
        <v>81</v>
      </c>
      <c r="E375" s="60" t="s">
        <v>245</v>
      </c>
      <c r="F375" s="61" t="n">
        <v>8.8</v>
      </c>
      <c r="G375" s="61" t="n">
        <v>8.8</v>
      </c>
      <c r="H375" s="60" t="n">
        <v>31</v>
      </c>
      <c r="I375" s="62" t="n">
        <f aca="false">IFERROR(F375*H375,"")</f>
        <v>272.8</v>
      </c>
      <c r="J375" s="60" t="n">
        <v>3.5</v>
      </c>
      <c r="K375" s="62" t="n">
        <f aca="false">IFERROR((F375-J375)*H375,"")</f>
        <v>164.3</v>
      </c>
      <c r="L375" s="63" t="n">
        <f aca="false">IFERROR(IF(F375&gt;0,LN(F375),""),"")</f>
        <v>2.17475172148416</v>
      </c>
      <c r="M375" s="63" t="n">
        <f aca="false">IFERROR(IF(H375&gt;0,LN(H375),""),"")</f>
        <v>3.43398720448515</v>
      </c>
    </row>
    <row r="376" customFormat="false" ht="15" hidden="false" customHeight="true" outlineLevel="0" collapsed="false">
      <c r="A376" s="60" t="n">
        <v>11</v>
      </c>
      <c r="B376" s="60" t="n">
        <v>4</v>
      </c>
      <c r="C376" s="60" t="s">
        <v>249</v>
      </c>
      <c r="D376" s="60" t="s">
        <v>81</v>
      </c>
      <c r="E376" s="60" t="s">
        <v>245</v>
      </c>
      <c r="F376" s="61" t="n">
        <v>9.68</v>
      </c>
      <c r="G376" s="61" t="n">
        <v>8.8</v>
      </c>
      <c r="H376" s="60" t="n">
        <v>20</v>
      </c>
      <c r="I376" s="62" t="n">
        <f aca="false">IFERROR(F376*H376,"")</f>
        <v>193.6</v>
      </c>
      <c r="J376" s="60" t="n">
        <v>3.5</v>
      </c>
      <c r="K376" s="62" t="n">
        <f aca="false">IFERROR((F376-J376)*H376,"")</f>
        <v>123.6</v>
      </c>
      <c r="L376" s="63" t="n">
        <f aca="false">IFERROR(IF(F376&gt;0,LN(F376),""),"")</f>
        <v>2.27006190128849</v>
      </c>
      <c r="M376" s="63" t="n">
        <f aca="false">IFERROR(IF(H376&gt;0,LN(H376),""),"")</f>
        <v>2.99573227355399</v>
      </c>
    </row>
    <row r="377" customFormat="false" ht="15" hidden="false" customHeight="true" outlineLevel="0" collapsed="false">
      <c r="A377" s="60" t="n">
        <v>12</v>
      </c>
      <c r="B377" s="60" t="n">
        <v>5</v>
      </c>
      <c r="C377" s="60" t="s">
        <v>249</v>
      </c>
      <c r="D377" s="60" t="s">
        <v>81</v>
      </c>
      <c r="E377" s="60" t="s">
        <v>245</v>
      </c>
      <c r="F377" s="61" t="n">
        <v>9.24</v>
      </c>
      <c r="G377" s="61" t="n">
        <v>8.8</v>
      </c>
      <c r="H377" s="60" t="n">
        <v>22</v>
      </c>
      <c r="I377" s="62" t="n">
        <f aca="false">IFERROR(F377*H377,"")</f>
        <v>203.28</v>
      </c>
      <c r="J377" s="60" t="n">
        <v>3.5</v>
      </c>
      <c r="K377" s="62" t="n">
        <f aca="false">IFERROR((F377-J377)*H377,"")</f>
        <v>126.28</v>
      </c>
      <c r="L377" s="63" t="n">
        <f aca="false">IFERROR(IF(F377&gt;0,LN(F377),""),"")</f>
        <v>2.22354188565359</v>
      </c>
      <c r="M377" s="63" t="n">
        <f aca="false">IFERROR(IF(H377&gt;0,LN(H377),""),"")</f>
        <v>3.09104245335832</v>
      </c>
    </row>
    <row r="378" customFormat="false" ht="15" hidden="false" customHeight="true" outlineLevel="0" collapsed="false">
      <c r="A378" s="60" t="n">
        <v>13</v>
      </c>
      <c r="B378" s="60" t="n">
        <v>6</v>
      </c>
      <c r="C378" s="60" t="s">
        <v>249</v>
      </c>
      <c r="D378" s="60" t="s">
        <v>81</v>
      </c>
      <c r="E378" s="60" t="s">
        <v>245</v>
      </c>
      <c r="F378" s="61" t="n">
        <v>8.8</v>
      </c>
      <c r="G378" s="61" t="n">
        <v>8.8</v>
      </c>
      <c r="H378" s="60" t="n">
        <v>20</v>
      </c>
      <c r="I378" s="62" t="n">
        <f aca="false">IFERROR(F378*H378,"")</f>
        <v>176</v>
      </c>
      <c r="J378" s="60" t="n">
        <v>3.5</v>
      </c>
      <c r="K378" s="62" t="n">
        <f aca="false">IFERROR((F378-J378)*H378,"")</f>
        <v>106</v>
      </c>
      <c r="L378" s="63" t="n">
        <f aca="false">IFERROR(IF(F378&gt;0,LN(F378),""),"")</f>
        <v>2.17475172148416</v>
      </c>
      <c r="M378" s="63" t="n">
        <f aca="false">IFERROR(IF(H378&gt;0,LN(H378),""),"")</f>
        <v>2.99573227355399</v>
      </c>
    </row>
    <row r="379" customFormat="false" ht="15" hidden="false" customHeight="true" outlineLevel="0" collapsed="false">
      <c r="A379" s="60" t="n">
        <v>14</v>
      </c>
      <c r="B379" s="60" t="n">
        <v>7</v>
      </c>
      <c r="C379" s="60" t="s">
        <v>249</v>
      </c>
      <c r="D379" s="60" t="s">
        <v>81</v>
      </c>
      <c r="E379" s="60" t="s">
        <v>245</v>
      </c>
      <c r="F379" s="61" t="n">
        <v>8.8</v>
      </c>
      <c r="G379" s="61" t="n">
        <v>8.8</v>
      </c>
      <c r="H379" s="60" t="n">
        <v>28</v>
      </c>
      <c r="I379" s="62" t="n">
        <f aca="false">IFERROR(F379*H379,"")</f>
        <v>246.4</v>
      </c>
      <c r="J379" s="60" t="n">
        <v>3.5</v>
      </c>
      <c r="K379" s="62" t="n">
        <f aca="false">IFERROR((F379-J379)*H379,"")</f>
        <v>148.4</v>
      </c>
      <c r="L379" s="63" t="n">
        <f aca="false">IFERROR(IF(F379&gt;0,LN(F379),""),"")</f>
        <v>2.17475172148416</v>
      </c>
      <c r="M379" s="63" t="n">
        <f aca="false">IFERROR(IF(H379&gt;0,LN(H379),""),"")</f>
        <v>3.3322045101752</v>
      </c>
    </row>
    <row r="380" customFormat="false" ht="15" hidden="false" customHeight="true" outlineLevel="0" collapsed="false">
      <c r="A380" s="60" t="n">
        <v>15</v>
      </c>
      <c r="B380" s="60" t="n">
        <v>1</v>
      </c>
      <c r="C380" s="60" t="s">
        <v>249</v>
      </c>
      <c r="D380" s="60" t="s">
        <v>81</v>
      </c>
      <c r="E380" s="60" t="s">
        <v>245</v>
      </c>
      <c r="F380" s="61" t="n">
        <v>8.8</v>
      </c>
      <c r="G380" s="61" t="n">
        <v>8.8</v>
      </c>
      <c r="H380" s="60" t="n">
        <v>24</v>
      </c>
      <c r="I380" s="62" t="n">
        <f aca="false">IFERROR(F380*H380,"")</f>
        <v>211.2</v>
      </c>
      <c r="J380" s="60" t="n">
        <v>3.5</v>
      </c>
      <c r="K380" s="62" t="n">
        <f aca="false">IFERROR((F380-J380)*H380,"")</f>
        <v>127.2</v>
      </c>
      <c r="L380" s="63" t="n">
        <f aca="false">IFERROR(IF(F380&gt;0,LN(F380),""),"")</f>
        <v>2.17475172148416</v>
      </c>
      <c r="M380" s="63" t="n">
        <f aca="false">IFERROR(IF(H380&gt;0,LN(H380),""),"")</f>
        <v>3.17805383034795</v>
      </c>
    </row>
    <row r="381" customFormat="false" ht="15" hidden="false" customHeight="true" outlineLevel="0" collapsed="false">
      <c r="A381" s="60" t="n">
        <v>16</v>
      </c>
      <c r="B381" s="60" t="n">
        <v>2</v>
      </c>
      <c r="C381" s="60" t="s">
        <v>249</v>
      </c>
      <c r="D381" s="60" t="s">
        <v>81</v>
      </c>
      <c r="E381" s="60" t="s">
        <v>245</v>
      </c>
      <c r="F381" s="61" t="n">
        <v>8.8</v>
      </c>
      <c r="G381" s="61" t="n">
        <v>8.8</v>
      </c>
      <c r="H381" s="60" t="n">
        <v>22</v>
      </c>
      <c r="I381" s="62" t="n">
        <f aca="false">IFERROR(F381*H381,"")</f>
        <v>193.6</v>
      </c>
      <c r="J381" s="60" t="n">
        <v>3.5</v>
      </c>
      <c r="K381" s="62" t="n">
        <f aca="false">IFERROR((F381-J381)*H381,"")</f>
        <v>116.6</v>
      </c>
      <c r="L381" s="63" t="n">
        <f aca="false">IFERROR(IF(F381&gt;0,LN(F381),""),"")</f>
        <v>2.17475172148416</v>
      </c>
      <c r="M381" s="63" t="n">
        <f aca="false">IFERROR(IF(H381&gt;0,LN(H381),""),"")</f>
        <v>3.09104245335832</v>
      </c>
    </row>
    <row r="382" customFormat="false" ht="15" hidden="false" customHeight="true" outlineLevel="0" collapsed="false">
      <c r="A382" s="60" t="n">
        <v>17</v>
      </c>
      <c r="B382" s="60" t="n">
        <v>3</v>
      </c>
      <c r="C382" s="60" t="s">
        <v>249</v>
      </c>
      <c r="D382" s="60" t="s">
        <v>81</v>
      </c>
      <c r="E382" s="60" t="s">
        <v>245</v>
      </c>
      <c r="F382" s="61" t="n">
        <v>8.36</v>
      </c>
      <c r="G382" s="61" t="n">
        <v>8.8</v>
      </c>
      <c r="H382" s="60" t="n">
        <v>28</v>
      </c>
      <c r="I382" s="62" t="n">
        <f aca="false">IFERROR(F382*H382,"")</f>
        <v>234.08</v>
      </c>
      <c r="J382" s="60" t="n">
        <v>3.5</v>
      </c>
      <c r="K382" s="62" t="n">
        <f aca="false">IFERROR((F382-J382)*H382,"")</f>
        <v>136.08</v>
      </c>
      <c r="L382" s="63" t="n">
        <f aca="false">IFERROR(IF(F382&gt;0,LN(F382),""),"")</f>
        <v>2.12345842709661</v>
      </c>
      <c r="M382" s="63" t="n">
        <f aca="false">IFERROR(IF(H382&gt;0,LN(H382),""),"")</f>
        <v>3.3322045101752</v>
      </c>
    </row>
    <row r="383" customFormat="false" ht="15" hidden="false" customHeight="true" outlineLevel="0" collapsed="false">
      <c r="A383" s="60" t="n">
        <v>18</v>
      </c>
      <c r="B383" s="60" t="n">
        <v>4</v>
      </c>
      <c r="C383" s="60" t="s">
        <v>249</v>
      </c>
      <c r="D383" s="60" t="s">
        <v>81</v>
      </c>
      <c r="E383" s="60" t="s">
        <v>245</v>
      </c>
      <c r="F383" s="61" t="n">
        <v>7.92</v>
      </c>
      <c r="G383" s="61" t="n">
        <v>8.8</v>
      </c>
      <c r="H383" s="60" t="n">
        <v>30</v>
      </c>
      <c r="I383" s="62" t="n">
        <f aca="false">IFERROR(F383*H383,"")</f>
        <v>237.6</v>
      </c>
      <c r="J383" s="60" t="n">
        <v>3.5</v>
      </c>
      <c r="K383" s="62" t="n">
        <f aca="false">IFERROR((F383-J383)*H383,"")</f>
        <v>132.6</v>
      </c>
      <c r="L383" s="63" t="n">
        <f aca="false">IFERROR(IF(F383&gt;0,LN(F383),""),"")</f>
        <v>2.06939120582633</v>
      </c>
      <c r="M383" s="63" t="n">
        <f aca="false">IFERROR(IF(H383&gt;0,LN(H383),""),"")</f>
        <v>3.40119738166216</v>
      </c>
    </row>
    <row r="384" customFormat="false" ht="15" hidden="false" customHeight="true" outlineLevel="0" collapsed="false">
      <c r="A384" s="60" t="n">
        <v>19</v>
      </c>
      <c r="B384" s="60" t="n">
        <v>5</v>
      </c>
      <c r="C384" s="60" t="s">
        <v>249</v>
      </c>
      <c r="D384" s="60" t="s">
        <v>81</v>
      </c>
      <c r="E384" s="60" t="s">
        <v>245</v>
      </c>
      <c r="F384" s="61" t="n">
        <v>9.68</v>
      </c>
      <c r="G384" s="61" t="n">
        <v>8.8</v>
      </c>
      <c r="H384" s="60" t="n">
        <v>18</v>
      </c>
      <c r="I384" s="62" t="n">
        <f aca="false">IFERROR(F384*H384,"")</f>
        <v>174.24</v>
      </c>
      <c r="J384" s="60" t="n">
        <v>3.5</v>
      </c>
      <c r="K384" s="62" t="n">
        <f aca="false">IFERROR((F384-J384)*H384,"")</f>
        <v>111.24</v>
      </c>
      <c r="L384" s="63" t="n">
        <f aca="false">IFERROR(IF(F384&gt;0,LN(F384),""),"")</f>
        <v>2.27006190128849</v>
      </c>
      <c r="M384" s="63" t="n">
        <f aca="false">IFERROR(IF(H384&gt;0,LN(H384),""),"")</f>
        <v>2.89037175789616</v>
      </c>
    </row>
    <row r="385" customFormat="false" ht="15" hidden="false" customHeight="true" outlineLevel="0" collapsed="false">
      <c r="A385" s="60" t="n">
        <v>20</v>
      </c>
      <c r="B385" s="60" t="n">
        <v>6</v>
      </c>
      <c r="C385" s="60" t="s">
        <v>249</v>
      </c>
      <c r="D385" s="60" t="s">
        <v>81</v>
      </c>
      <c r="E385" s="60" t="s">
        <v>245</v>
      </c>
      <c r="F385" s="61" t="n">
        <v>8.36</v>
      </c>
      <c r="G385" s="61" t="n">
        <v>8.8</v>
      </c>
      <c r="H385" s="60" t="n">
        <v>25</v>
      </c>
      <c r="I385" s="62" t="n">
        <f aca="false">IFERROR(F385*H385,"")</f>
        <v>209</v>
      </c>
      <c r="J385" s="60" t="n">
        <v>3.5</v>
      </c>
      <c r="K385" s="62" t="n">
        <f aca="false">IFERROR((F385-J385)*H385,"")</f>
        <v>121.5</v>
      </c>
      <c r="L385" s="63" t="n">
        <f aca="false">IFERROR(IF(F385&gt;0,LN(F385),""),"")</f>
        <v>2.12345842709661</v>
      </c>
      <c r="M385" s="63" t="n">
        <f aca="false">IFERROR(IF(H385&gt;0,LN(H385),""),"")</f>
        <v>3.2188758248682</v>
      </c>
    </row>
    <row r="386" customFormat="false" ht="15" hidden="false" customHeight="true" outlineLevel="0" collapsed="false">
      <c r="A386" s="60" t="n">
        <v>21</v>
      </c>
      <c r="B386" s="60" t="n">
        <v>7</v>
      </c>
      <c r="C386" s="60" t="s">
        <v>249</v>
      </c>
      <c r="D386" s="60" t="s">
        <v>81</v>
      </c>
      <c r="E386" s="60" t="s">
        <v>245</v>
      </c>
      <c r="F386" s="61" t="n">
        <v>8.36</v>
      </c>
      <c r="G386" s="61" t="n">
        <v>8.8</v>
      </c>
      <c r="H386" s="60" t="n">
        <v>27</v>
      </c>
      <c r="I386" s="62" t="n">
        <f aca="false">IFERROR(F386*H386,"")</f>
        <v>225.72</v>
      </c>
      <c r="J386" s="60" t="n">
        <v>3.5</v>
      </c>
      <c r="K386" s="62" t="n">
        <f aca="false">IFERROR((F386-J386)*H386,"")</f>
        <v>131.22</v>
      </c>
      <c r="L386" s="63" t="n">
        <f aca="false">IFERROR(IF(F386&gt;0,LN(F386),""),"")</f>
        <v>2.12345842709661</v>
      </c>
      <c r="M386" s="63" t="n">
        <f aca="false">IFERROR(IF(H386&gt;0,LN(H386),""),"")</f>
        <v>3.29583686600433</v>
      </c>
    </row>
    <row r="387" customFormat="false" ht="15" hidden="false" customHeight="true" outlineLevel="0" collapsed="false">
      <c r="A387" s="60" t="n">
        <v>22</v>
      </c>
      <c r="B387" s="60" t="n">
        <v>1</v>
      </c>
      <c r="C387" s="60" t="s">
        <v>249</v>
      </c>
      <c r="D387" s="60" t="s">
        <v>81</v>
      </c>
      <c r="E387" s="60" t="s">
        <v>245</v>
      </c>
      <c r="F387" s="61" t="n">
        <v>9.68</v>
      </c>
      <c r="G387" s="61" t="n">
        <v>8.8</v>
      </c>
      <c r="H387" s="60" t="n">
        <v>27</v>
      </c>
      <c r="I387" s="62" t="n">
        <f aca="false">IFERROR(F387*H387,"")</f>
        <v>261.36</v>
      </c>
      <c r="J387" s="60" t="n">
        <v>3.5</v>
      </c>
      <c r="K387" s="62" t="n">
        <f aca="false">IFERROR((F387-J387)*H387,"")</f>
        <v>166.86</v>
      </c>
      <c r="L387" s="63" t="n">
        <f aca="false">IFERROR(IF(F387&gt;0,LN(F387),""),"")</f>
        <v>2.27006190128849</v>
      </c>
      <c r="M387" s="63" t="n">
        <f aca="false">IFERROR(IF(H387&gt;0,LN(H387),""),"")</f>
        <v>3.29583686600433</v>
      </c>
    </row>
    <row r="388" customFormat="false" ht="15" hidden="false" customHeight="true" outlineLevel="0" collapsed="false">
      <c r="A388" s="60" t="n">
        <v>23</v>
      </c>
      <c r="B388" s="60" t="n">
        <v>2</v>
      </c>
      <c r="C388" s="60" t="s">
        <v>249</v>
      </c>
      <c r="D388" s="60" t="s">
        <v>81</v>
      </c>
      <c r="E388" s="60" t="s">
        <v>245</v>
      </c>
      <c r="F388" s="61" t="n">
        <v>9.24</v>
      </c>
      <c r="G388" s="61" t="n">
        <v>8.8</v>
      </c>
      <c r="H388" s="60" t="n">
        <v>28</v>
      </c>
      <c r="I388" s="62" t="n">
        <f aca="false">IFERROR(F388*H388,"")</f>
        <v>258.72</v>
      </c>
      <c r="J388" s="60" t="n">
        <v>3.5</v>
      </c>
      <c r="K388" s="62" t="n">
        <f aca="false">IFERROR((F388-J388)*H388,"")</f>
        <v>160.72</v>
      </c>
      <c r="L388" s="63" t="n">
        <f aca="false">IFERROR(IF(F388&gt;0,LN(F388),""),"")</f>
        <v>2.22354188565359</v>
      </c>
      <c r="M388" s="63" t="n">
        <f aca="false">IFERROR(IF(H388&gt;0,LN(H388),""),"")</f>
        <v>3.3322045101752</v>
      </c>
    </row>
    <row r="389" customFormat="false" ht="15" hidden="false" customHeight="true" outlineLevel="0" collapsed="false">
      <c r="A389" s="60" t="n">
        <v>24</v>
      </c>
      <c r="B389" s="60" t="n">
        <v>3</v>
      </c>
      <c r="C389" s="60" t="s">
        <v>249</v>
      </c>
      <c r="D389" s="60" t="s">
        <v>81</v>
      </c>
      <c r="E389" s="60" t="s">
        <v>245</v>
      </c>
      <c r="F389" s="61" t="n">
        <v>8.8</v>
      </c>
      <c r="G389" s="61" t="n">
        <v>8.8</v>
      </c>
      <c r="H389" s="60" t="n">
        <v>24</v>
      </c>
      <c r="I389" s="62" t="n">
        <f aca="false">IFERROR(F389*H389,"")</f>
        <v>211.2</v>
      </c>
      <c r="J389" s="60" t="n">
        <v>3.5</v>
      </c>
      <c r="K389" s="62" t="n">
        <f aca="false">IFERROR((F389-J389)*H389,"")</f>
        <v>127.2</v>
      </c>
      <c r="L389" s="63" t="n">
        <f aca="false">IFERROR(IF(F389&gt;0,LN(F389),""),"")</f>
        <v>2.17475172148416</v>
      </c>
      <c r="M389" s="63" t="n">
        <f aca="false">IFERROR(IF(H389&gt;0,LN(H389),""),"")</f>
        <v>3.17805383034795</v>
      </c>
    </row>
    <row r="390" customFormat="false" ht="15" hidden="false" customHeight="true" outlineLevel="0" collapsed="false">
      <c r="A390" s="60" t="n">
        <v>25</v>
      </c>
      <c r="B390" s="60" t="n">
        <v>4</v>
      </c>
      <c r="C390" s="60" t="s">
        <v>249</v>
      </c>
      <c r="D390" s="60" t="s">
        <v>81</v>
      </c>
      <c r="E390" s="60" t="s">
        <v>245</v>
      </c>
      <c r="F390" s="61" t="n">
        <v>7.92</v>
      </c>
      <c r="G390" s="61" t="n">
        <v>8.8</v>
      </c>
      <c r="H390" s="60" t="n">
        <v>30</v>
      </c>
      <c r="I390" s="62" t="n">
        <f aca="false">IFERROR(F390*H390,"")</f>
        <v>237.6</v>
      </c>
      <c r="J390" s="60" t="n">
        <v>3.5</v>
      </c>
      <c r="K390" s="62" t="n">
        <f aca="false">IFERROR((F390-J390)*H390,"")</f>
        <v>132.6</v>
      </c>
      <c r="L390" s="63" t="n">
        <f aca="false">IFERROR(IF(F390&gt;0,LN(F390),""),"")</f>
        <v>2.06939120582633</v>
      </c>
      <c r="M390" s="63" t="n">
        <f aca="false">IFERROR(IF(H390&gt;0,LN(H390),""),"")</f>
        <v>3.40119738166216</v>
      </c>
    </row>
    <row r="391" customFormat="false" ht="15" hidden="false" customHeight="true" outlineLevel="0" collapsed="false">
      <c r="A391" s="60" t="n">
        <v>26</v>
      </c>
      <c r="B391" s="60" t="n">
        <v>5</v>
      </c>
      <c r="C391" s="60" t="s">
        <v>249</v>
      </c>
      <c r="D391" s="60" t="s">
        <v>81</v>
      </c>
      <c r="E391" s="60" t="s">
        <v>245</v>
      </c>
      <c r="F391" s="61" t="n">
        <v>8.8</v>
      </c>
      <c r="G391" s="61" t="n">
        <v>8.8</v>
      </c>
      <c r="H391" s="60" t="n">
        <v>22</v>
      </c>
      <c r="I391" s="62" t="n">
        <f aca="false">IFERROR(F391*H391,"")</f>
        <v>193.6</v>
      </c>
      <c r="J391" s="60" t="n">
        <v>3.5</v>
      </c>
      <c r="K391" s="62" t="n">
        <f aca="false">IFERROR((F391-J391)*H391,"")</f>
        <v>116.6</v>
      </c>
      <c r="L391" s="63" t="n">
        <f aca="false">IFERROR(IF(F391&gt;0,LN(F391),""),"")</f>
        <v>2.17475172148416</v>
      </c>
      <c r="M391" s="63" t="n">
        <f aca="false">IFERROR(IF(H391&gt;0,LN(H391),""),"")</f>
        <v>3.09104245335832</v>
      </c>
    </row>
    <row r="392" customFormat="false" ht="15" hidden="false" customHeight="true" outlineLevel="0" collapsed="false">
      <c r="A392" s="60" t="n">
        <v>27</v>
      </c>
      <c r="B392" s="60" t="n">
        <v>6</v>
      </c>
      <c r="C392" s="60" t="s">
        <v>249</v>
      </c>
      <c r="D392" s="60" t="s">
        <v>81</v>
      </c>
      <c r="E392" s="60" t="s">
        <v>245</v>
      </c>
      <c r="F392" s="61" t="n">
        <v>8.36</v>
      </c>
      <c r="G392" s="61" t="n">
        <v>8.8</v>
      </c>
      <c r="H392" s="60" t="n">
        <v>24</v>
      </c>
      <c r="I392" s="62" t="n">
        <f aca="false">IFERROR(F392*H392,"")</f>
        <v>200.64</v>
      </c>
      <c r="J392" s="60" t="n">
        <v>3.5</v>
      </c>
      <c r="K392" s="62" t="n">
        <f aca="false">IFERROR((F392-J392)*H392,"")</f>
        <v>116.64</v>
      </c>
      <c r="L392" s="63" t="n">
        <f aca="false">IFERROR(IF(F392&gt;0,LN(F392),""),"")</f>
        <v>2.12345842709661</v>
      </c>
      <c r="M392" s="63" t="n">
        <f aca="false">IFERROR(IF(H392&gt;0,LN(H392),""),"")</f>
        <v>3.17805383034795</v>
      </c>
    </row>
    <row r="393" customFormat="false" ht="15" hidden="false" customHeight="true" outlineLevel="0" collapsed="false">
      <c r="A393" s="60" t="n">
        <v>28</v>
      </c>
      <c r="B393" s="60" t="n">
        <v>7</v>
      </c>
      <c r="C393" s="60" t="s">
        <v>249</v>
      </c>
      <c r="D393" s="60" t="s">
        <v>81</v>
      </c>
      <c r="E393" s="60" t="s">
        <v>245</v>
      </c>
      <c r="F393" s="61" t="n">
        <v>8.36</v>
      </c>
      <c r="G393" s="61" t="n">
        <v>8.8</v>
      </c>
      <c r="H393" s="60" t="n">
        <v>33</v>
      </c>
      <c r="I393" s="62" t="n">
        <f aca="false">IFERROR(F393*H393,"")</f>
        <v>275.88</v>
      </c>
      <c r="J393" s="60" t="n">
        <v>3.5</v>
      </c>
      <c r="K393" s="62" t="n">
        <f aca="false">IFERROR((F393-J393)*H393,"")</f>
        <v>160.38</v>
      </c>
      <c r="L393" s="63" t="n">
        <f aca="false">IFERROR(IF(F393&gt;0,LN(F393),""),"")</f>
        <v>2.12345842709661</v>
      </c>
      <c r="M393" s="63" t="n">
        <f aca="false">IFERROR(IF(H393&gt;0,LN(H393),""),"")</f>
        <v>3.49650756146648</v>
      </c>
    </row>
    <row r="394" customFormat="false" ht="15" hidden="false" customHeight="true" outlineLevel="0" collapsed="false">
      <c r="A394" s="60" t="n">
        <v>29</v>
      </c>
      <c r="B394" s="60" t="n">
        <v>1</v>
      </c>
      <c r="C394" s="60" t="s">
        <v>249</v>
      </c>
      <c r="D394" s="60" t="s">
        <v>81</v>
      </c>
      <c r="E394" s="60" t="s">
        <v>245</v>
      </c>
      <c r="F394" s="61" t="n">
        <v>8.8</v>
      </c>
      <c r="G394" s="61" t="n">
        <v>8.8</v>
      </c>
      <c r="H394" s="60" t="n">
        <v>26</v>
      </c>
      <c r="I394" s="62" t="n">
        <f aca="false">IFERROR(F394*H394,"")</f>
        <v>228.8</v>
      </c>
      <c r="J394" s="60" t="n">
        <v>3.5</v>
      </c>
      <c r="K394" s="62" t="n">
        <f aca="false">IFERROR((F394-J394)*H394,"")</f>
        <v>137.8</v>
      </c>
      <c r="L394" s="63" t="n">
        <f aca="false">IFERROR(IF(F394&gt;0,LN(F394),""),"")</f>
        <v>2.17475172148416</v>
      </c>
      <c r="M394" s="63" t="n">
        <f aca="false">IFERROR(IF(H394&gt;0,LN(H394),""),"")</f>
        <v>3.25809653802148</v>
      </c>
    </row>
    <row r="395" customFormat="false" ht="15" hidden="false" customHeight="true" outlineLevel="0" collapsed="false">
      <c r="A395" s="60" t="n">
        <v>30</v>
      </c>
      <c r="B395" s="60" t="n">
        <v>2</v>
      </c>
      <c r="C395" s="60" t="s">
        <v>249</v>
      </c>
      <c r="D395" s="60" t="s">
        <v>81</v>
      </c>
      <c r="E395" s="60" t="s">
        <v>245</v>
      </c>
      <c r="F395" s="61" t="n">
        <v>8.8</v>
      </c>
      <c r="G395" s="61" t="n">
        <v>8.8</v>
      </c>
      <c r="H395" s="60" t="n">
        <v>25</v>
      </c>
      <c r="I395" s="62" t="n">
        <f aca="false">IFERROR(F395*H395,"")</f>
        <v>220</v>
      </c>
      <c r="J395" s="60" t="n">
        <v>3.5</v>
      </c>
      <c r="K395" s="62" t="n">
        <f aca="false">IFERROR((F395-J395)*H395,"")</f>
        <v>132.5</v>
      </c>
      <c r="L395" s="63" t="n">
        <f aca="false">IFERROR(IF(F395&gt;0,LN(F395),""),"")</f>
        <v>2.17475172148416</v>
      </c>
      <c r="M395" s="63" t="n">
        <f aca="false">IFERROR(IF(H395&gt;0,LN(H395),""),"")</f>
        <v>3.2188758248682</v>
      </c>
    </row>
    <row r="396" customFormat="false" ht="15" hidden="false" customHeight="true" outlineLevel="0" collapsed="false">
      <c r="A396" s="60" t="n">
        <v>31</v>
      </c>
      <c r="B396" s="60" t="n">
        <v>3</v>
      </c>
      <c r="C396" s="60" t="s">
        <v>249</v>
      </c>
      <c r="D396" s="60" t="s">
        <v>81</v>
      </c>
      <c r="E396" s="60" t="s">
        <v>245</v>
      </c>
      <c r="F396" s="61" t="n">
        <v>9.68</v>
      </c>
      <c r="G396" s="61" t="n">
        <v>8.8</v>
      </c>
      <c r="H396" s="60" t="n">
        <v>28</v>
      </c>
      <c r="I396" s="62" t="n">
        <f aca="false">IFERROR(F396*H396,"")</f>
        <v>271.04</v>
      </c>
      <c r="J396" s="60" t="n">
        <v>3.5</v>
      </c>
      <c r="K396" s="62" t="n">
        <f aca="false">IFERROR((F396-J396)*H396,"")</f>
        <v>173.04</v>
      </c>
      <c r="L396" s="63" t="n">
        <f aca="false">IFERROR(IF(F396&gt;0,LN(F396),""),"")</f>
        <v>2.27006190128849</v>
      </c>
      <c r="M396" s="63" t="n">
        <f aca="false">IFERROR(IF(H396&gt;0,LN(H396),""),"")</f>
        <v>3.3322045101752</v>
      </c>
    </row>
    <row r="397" customFormat="false" ht="15" hidden="false" customHeight="true" outlineLevel="0" collapsed="false">
      <c r="A397" s="60" t="n">
        <v>32</v>
      </c>
      <c r="B397" s="60" t="n">
        <v>4</v>
      </c>
      <c r="C397" s="60" t="s">
        <v>249</v>
      </c>
      <c r="D397" s="60" t="s">
        <v>81</v>
      </c>
      <c r="E397" s="60" t="s">
        <v>245</v>
      </c>
      <c r="F397" s="61" t="n">
        <v>8.8</v>
      </c>
      <c r="G397" s="61" t="n">
        <v>8.8</v>
      </c>
      <c r="H397" s="60" t="n">
        <v>23</v>
      </c>
      <c r="I397" s="62" t="n">
        <f aca="false">IFERROR(F397*H397,"")</f>
        <v>202.4</v>
      </c>
      <c r="J397" s="60" t="n">
        <v>3.5</v>
      </c>
      <c r="K397" s="62" t="n">
        <f aca="false">IFERROR((F397-J397)*H397,"")</f>
        <v>121.9</v>
      </c>
      <c r="L397" s="63" t="n">
        <f aca="false">IFERROR(IF(F397&gt;0,LN(F397),""),"")</f>
        <v>2.17475172148416</v>
      </c>
      <c r="M397" s="63" t="n">
        <f aca="false">IFERROR(IF(H397&gt;0,LN(H397),""),"")</f>
        <v>3.13549421592915</v>
      </c>
    </row>
    <row r="398" customFormat="false" ht="15" hidden="false" customHeight="true" outlineLevel="0" collapsed="false">
      <c r="A398" s="60" t="n">
        <v>33</v>
      </c>
      <c r="B398" s="60" t="n">
        <v>5</v>
      </c>
      <c r="C398" s="60" t="s">
        <v>249</v>
      </c>
      <c r="D398" s="60" t="s">
        <v>81</v>
      </c>
      <c r="E398" s="60" t="s">
        <v>245</v>
      </c>
      <c r="F398" s="61" t="n">
        <v>7.92</v>
      </c>
      <c r="G398" s="61" t="n">
        <v>8.8</v>
      </c>
      <c r="H398" s="60" t="n">
        <v>32</v>
      </c>
      <c r="I398" s="62" t="n">
        <f aca="false">IFERROR(F398*H398,"")</f>
        <v>253.44</v>
      </c>
      <c r="J398" s="60" t="n">
        <v>3.5</v>
      </c>
      <c r="K398" s="62" t="n">
        <f aca="false">IFERROR((F398-J398)*H398,"")</f>
        <v>141.44</v>
      </c>
      <c r="L398" s="63" t="n">
        <f aca="false">IFERROR(IF(F398&gt;0,LN(F398),""),"")</f>
        <v>2.06939120582633</v>
      </c>
      <c r="M398" s="63" t="n">
        <f aca="false">IFERROR(IF(H398&gt;0,LN(H398),""),"")</f>
        <v>3.46573590279973</v>
      </c>
    </row>
    <row r="399" customFormat="false" ht="15" hidden="false" customHeight="true" outlineLevel="0" collapsed="false">
      <c r="A399" s="60" t="n">
        <v>34</v>
      </c>
      <c r="B399" s="60" t="n">
        <v>6</v>
      </c>
      <c r="C399" s="60" t="s">
        <v>249</v>
      </c>
      <c r="D399" s="60" t="s">
        <v>81</v>
      </c>
      <c r="E399" s="60" t="s">
        <v>245</v>
      </c>
      <c r="F399" s="61" t="n">
        <v>8.8</v>
      </c>
      <c r="G399" s="61" t="n">
        <v>8.8</v>
      </c>
      <c r="H399" s="60" t="n">
        <v>22</v>
      </c>
      <c r="I399" s="62" t="n">
        <f aca="false">IFERROR(F399*H399,"")</f>
        <v>193.6</v>
      </c>
      <c r="J399" s="60" t="n">
        <v>3.5</v>
      </c>
      <c r="K399" s="62" t="n">
        <f aca="false">IFERROR((F399-J399)*H399,"")</f>
        <v>116.6</v>
      </c>
      <c r="L399" s="63" t="n">
        <f aca="false">IFERROR(IF(F399&gt;0,LN(F399),""),"")</f>
        <v>2.17475172148416</v>
      </c>
      <c r="M399" s="63" t="n">
        <f aca="false">IFERROR(IF(H399&gt;0,LN(H399),""),"")</f>
        <v>3.09104245335832</v>
      </c>
    </row>
    <row r="400" customFormat="false" ht="15" hidden="false" customHeight="true" outlineLevel="0" collapsed="false">
      <c r="A400" s="60" t="n">
        <v>35</v>
      </c>
      <c r="B400" s="60" t="n">
        <v>7</v>
      </c>
      <c r="C400" s="60" t="s">
        <v>249</v>
      </c>
      <c r="D400" s="60" t="s">
        <v>81</v>
      </c>
      <c r="E400" s="60" t="s">
        <v>245</v>
      </c>
      <c r="F400" s="61" t="n">
        <v>8.8</v>
      </c>
      <c r="G400" s="61" t="n">
        <v>8.8</v>
      </c>
      <c r="H400" s="60" t="n">
        <v>23</v>
      </c>
      <c r="I400" s="62" t="n">
        <f aca="false">IFERROR(F400*H400,"")</f>
        <v>202.4</v>
      </c>
      <c r="J400" s="60" t="n">
        <v>3.5</v>
      </c>
      <c r="K400" s="62" t="n">
        <f aca="false">IFERROR((F400-J400)*H400,"")</f>
        <v>121.9</v>
      </c>
      <c r="L400" s="63" t="n">
        <f aca="false">IFERROR(IF(F400&gt;0,LN(F400),""),"")</f>
        <v>2.17475172148416</v>
      </c>
      <c r="M400" s="63" t="n">
        <f aca="false">IFERROR(IF(H400&gt;0,LN(H400),""),"")</f>
        <v>3.13549421592915</v>
      </c>
    </row>
    <row r="401" customFormat="false" ht="15" hidden="false" customHeight="true" outlineLevel="0" collapsed="false">
      <c r="A401" s="60" t="n">
        <v>36</v>
      </c>
      <c r="B401" s="60" t="n">
        <v>1</v>
      </c>
      <c r="C401" s="60" t="s">
        <v>249</v>
      </c>
      <c r="D401" s="60" t="s">
        <v>81</v>
      </c>
      <c r="E401" s="60" t="s">
        <v>245</v>
      </c>
      <c r="F401" s="61" t="n">
        <v>7.92</v>
      </c>
      <c r="G401" s="61" t="n">
        <v>8.8</v>
      </c>
      <c r="H401" s="60" t="n">
        <v>29</v>
      </c>
      <c r="I401" s="62" t="n">
        <f aca="false">IFERROR(F401*H401,"")</f>
        <v>229.68</v>
      </c>
      <c r="J401" s="60" t="n">
        <v>3.5</v>
      </c>
      <c r="K401" s="62" t="n">
        <f aca="false">IFERROR((F401-J401)*H401,"")</f>
        <v>128.18</v>
      </c>
      <c r="L401" s="63" t="n">
        <f aca="false">IFERROR(IF(F401&gt;0,LN(F401),""),"")</f>
        <v>2.06939120582633</v>
      </c>
      <c r="M401" s="63" t="n">
        <f aca="false">IFERROR(IF(H401&gt;0,LN(H401),""),"")</f>
        <v>3.36729582998647</v>
      </c>
    </row>
    <row r="402" customFormat="false" ht="15" hidden="false" customHeight="true" outlineLevel="0" collapsed="false">
      <c r="A402" s="60" t="n">
        <v>37</v>
      </c>
      <c r="B402" s="60" t="n">
        <v>2</v>
      </c>
      <c r="C402" s="60" t="s">
        <v>249</v>
      </c>
      <c r="D402" s="60" t="s">
        <v>81</v>
      </c>
      <c r="E402" s="60" t="s">
        <v>245</v>
      </c>
      <c r="F402" s="61" t="n">
        <v>8.8</v>
      </c>
      <c r="G402" s="61" t="n">
        <v>8.8</v>
      </c>
      <c r="H402" s="60" t="n">
        <v>29</v>
      </c>
      <c r="I402" s="62" t="n">
        <f aca="false">IFERROR(F402*H402,"")</f>
        <v>255.2</v>
      </c>
      <c r="J402" s="60" t="n">
        <v>3.5</v>
      </c>
      <c r="K402" s="62" t="n">
        <f aca="false">IFERROR((F402-J402)*H402,"")</f>
        <v>153.7</v>
      </c>
      <c r="L402" s="63" t="n">
        <f aca="false">IFERROR(IF(F402&gt;0,LN(F402),""),"")</f>
        <v>2.17475172148416</v>
      </c>
      <c r="M402" s="63" t="n">
        <f aca="false">IFERROR(IF(H402&gt;0,LN(H402),""),"")</f>
        <v>3.36729582998647</v>
      </c>
    </row>
    <row r="403" customFormat="false" ht="15" hidden="false" customHeight="true" outlineLevel="0" collapsed="false">
      <c r="A403" s="60" t="n">
        <v>38</v>
      </c>
      <c r="B403" s="60" t="n">
        <v>3</v>
      </c>
      <c r="C403" s="60" t="s">
        <v>249</v>
      </c>
      <c r="D403" s="60" t="s">
        <v>81</v>
      </c>
      <c r="E403" s="60" t="s">
        <v>245</v>
      </c>
      <c r="F403" s="61" t="n">
        <v>7.92</v>
      </c>
      <c r="G403" s="61" t="n">
        <v>8.8</v>
      </c>
      <c r="H403" s="60" t="n">
        <v>26</v>
      </c>
      <c r="I403" s="62" t="n">
        <f aca="false">IFERROR(F403*H403,"")</f>
        <v>205.92</v>
      </c>
      <c r="J403" s="60" t="n">
        <v>3.5</v>
      </c>
      <c r="K403" s="62" t="n">
        <f aca="false">IFERROR((F403-J403)*H403,"")</f>
        <v>114.92</v>
      </c>
      <c r="L403" s="63" t="n">
        <f aca="false">IFERROR(IF(F403&gt;0,LN(F403),""),"")</f>
        <v>2.06939120582633</v>
      </c>
      <c r="M403" s="63" t="n">
        <f aca="false">IFERROR(IF(H403&gt;0,LN(H403),""),"")</f>
        <v>3.25809653802148</v>
      </c>
    </row>
    <row r="404" customFormat="false" ht="15" hidden="false" customHeight="true" outlineLevel="0" collapsed="false">
      <c r="A404" s="60" t="n">
        <v>39</v>
      </c>
      <c r="B404" s="60" t="n">
        <v>4</v>
      </c>
      <c r="C404" s="60" t="s">
        <v>249</v>
      </c>
      <c r="D404" s="60" t="s">
        <v>81</v>
      </c>
      <c r="E404" s="60" t="s">
        <v>245</v>
      </c>
      <c r="F404" s="61" t="n">
        <v>8.8</v>
      </c>
      <c r="G404" s="61" t="n">
        <v>8.8</v>
      </c>
      <c r="H404" s="60" t="n">
        <v>21</v>
      </c>
      <c r="I404" s="62" t="n">
        <f aca="false">IFERROR(F404*H404,"")</f>
        <v>184.8</v>
      </c>
      <c r="J404" s="60" t="n">
        <v>3.5</v>
      </c>
      <c r="K404" s="62" t="n">
        <f aca="false">IFERROR((F404-J404)*H404,"")</f>
        <v>111.3</v>
      </c>
      <c r="L404" s="63" t="n">
        <f aca="false">IFERROR(IF(F404&gt;0,LN(F404),""),"")</f>
        <v>2.17475172148416</v>
      </c>
      <c r="M404" s="63" t="n">
        <f aca="false">IFERROR(IF(H404&gt;0,LN(H404),""),"")</f>
        <v>3.04452243772342</v>
      </c>
    </row>
    <row r="405" customFormat="false" ht="15" hidden="false" customHeight="true" outlineLevel="0" collapsed="false">
      <c r="A405" s="60" t="n">
        <v>40</v>
      </c>
      <c r="B405" s="60" t="n">
        <v>5</v>
      </c>
      <c r="C405" s="60" t="s">
        <v>249</v>
      </c>
      <c r="D405" s="60" t="s">
        <v>81</v>
      </c>
      <c r="E405" s="60" t="s">
        <v>245</v>
      </c>
      <c r="F405" s="61" t="n">
        <v>9.68</v>
      </c>
      <c r="G405" s="61" t="n">
        <v>8.8</v>
      </c>
      <c r="H405" s="60" t="n">
        <v>23</v>
      </c>
      <c r="I405" s="62" t="n">
        <f aca="false">IFERROR(F405*H405,"")</f>
        <v>222.64</v>
      </c>
      <c r="J405" s="60" t="n">
        <v>3.5</v>
      </c>
      <c r="K405" s="62" t="n">
        <f aca="false">IFERROR((F405-J405)*H405,"")</f>
        <v>142.14</v>
      </c>
      <c r="L405" s="63" t="n">
        <f aca="false">IFERROR(IF(F405&gt;0,LN(F405),""),"")</f>
        <v>2.27006190128849</v>
      </c>
      <c r="M405" s="63" t="n">
        <f aca="false">IFERROR(IF(H405&gt;0,LN(H405),""),"")</f>
        <v>3.13549421592915</v>
      </c>
    </row>
    <row r="406" customFormat="false" ht="15" hidden="false" customHeight="true" outlineLevel="0" collapsed="false">
      <c r="A406" s="60" t="n">
        <v>41</v>
      </c>
      <c r="B406" s="60" t="n">
        <v>6</v>
      </c>
      <c r="C406" s="60" t="s">
        <v>249</v>
      </c>
      <c r="D406" s="60" t="s">
        <v>81</v>
      </c>
      <c r="E406" s="60" t="s">
        <v>245</v>
      </c>
      <c r="F406" s="61" t="n">
        <v>7.92</v>
      </c>
      <c r="G406" s="61" t="n">
        <v>8.8</v>
      </c>
      <c r="H406" s="60" t="n">
        <v>33</v>
      </c>
      <c r="I406" s="62" t="n">
        <f aca="false">IFERROR(F406*H406,"")</f>
        <v>261.36</v>
      </c>
      <c r="J406" s="60" t="n">
        <v>3.5</v>
      </c>
      <c r="K406" s="62" t="n">
        <f aca="false">IFERROR((F406-J406)*H406,"")</f>
        <v>145.86</v>
      </c>
      <c r="L406" s="63" t="n">
        <f aca="false">IFERROR(IF(F406&gt;0,LN(F406),""),"")</f>
        <v>2.06939120582633</v>
      </c>
      <c r="M406" s="63" t="n">
        <f aca="false">IFERROR(IF(H406&gt;0,LN(H406),""),"")</f>
        <v>3.49650756146648</v>
      </c>
    </row>
    <row r="407" customFormat="false" ht="15" hidden="false" customHeight="true" outlineLevel="0" collapsed="false">
      <c r="A407" s="60" t="n">
        <v>42</v>
      </c>
      <c r="B407" s="60" t="n">
        <v>7</v>
      </c>
      <c r="C407" s="60" t="s">
        <v>249</v>
      </c>
      <c r="D407" s="60" t="s">
        <v>81</v>
      </c>
      <c r="E407" s="60" t="s">
        <v>245</v>
      </c>
      <c r="F407" s="61" t="n">
        <v>8.8</v>
      </c>
      <c r="G407" s="61" t="n">
        <v>8.8</v>
      </c>
      <c r="H407" s="60" t="n">
        <v>31</v>
      </c>
      <c r="I407" s="62" t="n">
        <f aca="false">IFERROR(F407*H407,"")</f>
        <v>272.8</v>
      </c>
      <c r="J407" s="60" t="n">
        <v>3.5</v>
      </c>
      <c r="K407" s="62" t="n">
        <f aca="false">IFERROR((F407-J407)*H407,"")</f>
        <v>164.3</v>
      </c>
      <c r="L407" s="63" t="n">
        <f aca="false">IFERROR(IF(F407&gt;0,LN(F407),""),"")</f>
        <v>2.17475172148416</v>
      </c>
      <c r="M407" s="63" t="n">
        <f aca="false">IFERROR(IF(H407&gt;0,LN(H407),""),"")</f>
        <v>3.43398720448515</v>
      </c>
    </row>
    <row r="408" customFormat="false" ht="15" hidden="false" customHeight="true" outlineLevel="0" collapsed="false">
      <c r="A408" s="60" t="n">
        <v>43</v>
      </c>
      <c r="B408" s="60" t="n">
        <v>1</v>
      </c>
      <c r="C408" s="60" t="s">
        <v>249</v>
      </c>
      <c r="D408" s="60" t="s">
        <v>81</v>
      </c>
      <c r="E408" s="60" t="s">
        <v>245</v>
      </c>
      <c r="F408" s="61" t="n">
        <v>7.92</v>
      </c>
      <c r="G408" s="61" t="n">
        <v>8.8</v>
      </c>
      <c r="H408" s="60" t="n">
        <v>30</v>
      </c>
      <c r="I408" s="62" t="n">
        <f aca="false">IFERROR(F408*H408,"")</f>
        <v>237.6</v>
      </c>
      <c r="J408" s="60" t="n">
        <v>3.5</v>
      </c>
      <c r="K408" s="62" t="n">
        <f aca="false">IFERROR((F408-J408)*H408,"")</f>
        <v>132.6</v>
      </c>
      <c r="L408" s="63" t="n">
        <f aca="false">IFERROR(IF(F408&gt;0,LN(F408),""),"")</f>
        <v>2.06939120582633</v>
      </c>
      <c r="M408" s="63" t="n">
        <f aca="false">IFERROR(IF(H408&gt;0,LN(H408),""),"")</f>
        <v>3.40119738166216</v>
      </c>
    </row>
    <row r="409" customFormat="false" ht="15" hidden="false" customHeight="true" outlineLevel="0" collapsed="false">
      <c r="A409" s="60" t="n">
        <v>44</v>
      </c>
      <c r="B409" s="60" t="n">
        <v>2</v>
      </c>
      <c r="C409" s="60" t="s">
        <v>249</v>
      </c>
      <c r="D409" s="60" t="s">
        <v>81</v>
      </c>
      <c r="E409" s="60" t="s">
        <v>245</v>
      </c>
      <c r="F409" s="61" t="n">
        <v>8.8</v>
      </c>
      <c r="G409" s="61" t="n">
        <v>8.8</v>
      </c>
      <c r="H409" s="60" t="n">
        <v>25</v>
      </c>
      <c r="I409" s="62" t="n">
        <f aca="false">IFERROR(F409*H409,"")</f>
        <v>220</v>
      </c>
      <c r="J409" s="60" t="n">
        <v>3.5</v>
      </c>
      <c r="K409" s="62" t="n">
        <f aca="false">IFERROR((F409-J409)*H409,"")</f>
        <v>132.5</v>
      </c>
      <c r="L409" s="63" t="n">
        <f aca="false">IFERROR(IF(F409&gt;0,LN(F409),""),"")</f>
        <v>2.17475172148416</v>
      </c>
      <c r="M409" s="63" t="n">
        <f aca="false">IFERROR(IF(H409&gt;0,LN(H409),""),"")</f>
        <v>3.2188758248682</v>
      </c>
    </row>
    <row r="410" customFormat="false" ht="15" hidden="false" customHeight="true" outlineLevel="0" collapsed="false">
      <c r="A410" s="60" t="n">
        <v>45</v>
      </c>
      <c r="B410" s="60" t="n">
        <v>3</v>
      </c>
      <c r="C410" s="60" t="s">
        <v>249</v>
      </c>
      <c r="D410" s="60" t="s">
        <v>81</v>
      </c>
      <c r="E410" s="60" t="s">
        <v>245</v>
      </c>
      <c r="F410" s="61" t="n">
        <v>9.24</v>
      </c>
      <c r="G410" s="61" t="n">
        <v>8.8</v>
      </c>
      <c r="H410" s="60" t="n">
        <v>20</v>
      </c>
      <c r="I410" s="62" t="n">
        <f aca="false">IFERROR(F410*H410,"")</f>
        <v>184.8</v>
      </c>
      <c r="J410" s="60" t="n">
        <v>3.5</v>
      </c>
      <c r="K410" s="62" t="n">
        <f aca="false">IFERROR((F410-J410)*H410,"")</f>
        <v>114.8</v>
      </c>
      <c r="L410" s="63" t="n">
        <f aca="false">IFERROR(IF(F410&gt;0,LN(F410),""),"")</f>
        <v>2.22354188565359</v>
      </c>
      <c r="M410" s="63" t="n">
        <f aca="false">IFERROR(IF(H410&gt;0,LN(H410),""),"")</f>
        <v>2.99573227355399</v>
      </c>
    </row>
    <row r="411" customFormat="false" ht="15" hidden="false" customHeight="true" outlineLevel="0" collapsed="false">
      <c r="A411" s="60" t="n">
        <v>46</v>
      </c>
      <c r="B411" s="60" t="n">
        <v>4</v>
      </c>
      <c r="C411" s="60" t="s">
        <v>249</v>
      </c>
      <c r="D411" s="60" t="s">
        <v>81</v>
      </c>
      <c r="E411" s="60" t="s">
        <v>245</v>
      </c>
      <c r="F411" s="61" t="n">
        <v>9.24</v>
      </c>
      <c r="G411" s="61" t="n">
        <v>8.8</v>
      </c>
      <c r="H411" s="60" t="n">
        <v>21</v>
      </c>
      <c r="I411" s="62" t="n">
        <f aca="false">IFERROR(F411*H411,"")</f>
        <v>194.04</v>
      </c>
      <c r="J411" s="60" t="n">
        <v>3.5</v>
      </c>
      <c r="K411" s="62" t="n">
        <f aca="false">IFERROR((F411-J411)*H411,"")</f>
        <v>120.54</v>
      </c>
      <c r="L411" s="63" t="n">
        <f aca="false">IFERROR(IF(F411&gt;0,LN(F411),""),"")</f>
        <v>2.22354188565359</v>
      </c>
      <c r="M411" s="63" t="n">
        <f aca="false">IFERROR(IF(H411&gt;0,LN(H411),""),"")</f>
        <v>3.04452243772342</v>
      </c>
    </row>
    <row r="412" customFormat="false" ht="15" hidden="false" customHeight="true" outlineLevel="0" collapsed="false">
      <c r="A412" s="60" t="n">
        <v>47</v>
      </c>
      <c r="B412" s="60" t="n">
        <v>5</v>
      </c>
      <c r="C412" s="60" t="s">
        <v>249</v>
      </c>
      <c r="D412" s="60" t="s">
        <v>81</v>
      </c>
      <c r="E412" s="60" t="s">
        <v>245</v>
      </c>
      <c r="F412" s="61" t="n">
        <v>8.8</v>
      </c>
      <c r="G412" s="61" t="n">
        <v>8.8</v>
      </c>
      <c r="H412" s="60" t="n">
        <v>21</v>
      </c>
      <c r="I412" s="62" t="n">
        <f aca="false">IFERROR(F412*H412,"")</f>
        <v>184.8</v>
      </c>
      <c r="J412" s="60" t="n">
        <v>3.5</v>
      </c>
      <c r="K412" s="62" t="n">
        <f aca="false">IFERROR((F412-J412)*H412,"")</f>
        <v>111.3</v>
      </c>
      <c r="L412" s="63" t="n">
        <f aca="false">IFERROR(IF(F412&gt;0,LN(F412),""),"")</f>
        <v>2.17475172148416</v>
      </c>
      <c r="M412" s="63" t="n">
        <f aca="false">IFERROR(IF(H412&gt;0,LN(H412),""),"")</f>
        <v>3.04452243772342</v>
      </c>
    </row>
    <row r="413" customFormat="false" ht="15" hidden="false" customHeight="true" outlineLevel="0" collapsed="false">
      <c r="A413" s="60" t="n">
        <v>48</v>
      </c>
      <c r="B413" s="60" t="n">
        <v>6</v>
      </c>
      <c r="C413" s="60" t="s">
        <v>249</v>
      </c>
      <c r="D413" s="60" t="s">
        <v>81</v>
      </c>
      <c r="E413" s="60" t="s">
        <v>245</v>
      </c>
      <c r="F413" s="61" t="n">
        <v>9.24</v>
      </c>
      <c r="G413" s="61" t="n">
        <v>8.8</v>
      </c>
      <c r="H413" s="60" t="n">
        <v>25</v>
      </c>
      <c r="I413" s="62" t="n">
        <f aca="false">IFERROR(F413*H413,"")</f>
        <v>231</v>
      </c>
      <c r="J413" s="60" t="n">
        <v>3.5</v>
      </c>
      <c r="K413" s="62" t="n">
        <f aca="false">IFERROR((F413-J413)*H413,"")</f>
        <v>143.5</v>
      </c>
      <c r="L413" s="63" t="n">
        <f aca="false">IFERROR(IF(F413&gt;0,LN(F413),""),"")</f>
        <v>2.22354188565359</v>
      </c>
      <c r="M413" s="63" t="n">
        <f aca="false">IFERROR(IF(H413&gt;0,LN(H413),""),"")</f>
        <v>3.2188758248682</v>
      </c>
    </row>
    <row r="414" customFormat="false" ht="15" hidden="false" customHeight="true" outlineLevel="0" collapsed="false">
      <c r="A414" s="60" t="n">
        <v>49</v>
      </c>
      <c r="B414" s="60" t="n">
        <v>7</v>
      </c>
      <c r="C414" s="60" t="s">
        <v>249</v>
      </c>
      <c r="D414" s="60" t="s">
        <v>81</v>
      </c>
      <c r="E414" s="60" t="s">
        <v>245</v>
      </c>
      <c r="F414" s="61" t="n">
        <v>8.8</v>
      </c>
      <c r="G414" s="61" t="n">
        <v>8.8</v>
      </c>
      <c r="H414" s="60" t="n">
        <v>23</v>
      </c>
      <c r="I414" s="62" t="n">
        <f aca="false">IFERROR(F414*H414,"")</f>
        <v>202.4</v>
      </c>
      <c r="J414" s="60" t="n">
        <v>3.5</v>
      </c>
      <c r="K414" s="62" t="n">
        <f aca="false">IFERROR((F414-J414)*H414,"")</f>
        <v>121.9</v>
      </c>
      <c r="L414" s="63" t="n">
        <f aca="false">IFERROR(IF(F414&gt;0,LN(F414),""),"")</f>
        <v>2.17475172148416</v>
      </c>
      <c r="M414" s="63" t="n">
        <f aca="false">IFERROR(IF(H414&gt;0,LN(H414),""),"")</f>
        <v>3.13549421592915</v>
      </c>
    </row>
    <row r="415" customFormat="false" ht="15" hidden="false" customHeight="true" outlineLevel="0" collapsed="false">
      <c r="A415" s="60" t="n">
        <v>50</v>
      </c>
      <c r="B415" s="60" t="n">
        <v>1</v>
      </c>
      <c r="C415" s="60" t="s">
        <v>249</v>
      </c>
      <c r="D415" s="60" t="s">
        <v>81</v>
      </c>
      <c r="E415" s="60" t="s">
        <v>245</v>
      </c>
      <c r="F415" s="61" t="n">
        <v>9.24</v>
      </c>
      <c r="G415" s="61" t="n">
        <v>8.8</v>
      </c>
      <c r="H415" s="60" t="n">
        <v>29</v>
      </c>
      <c r="I415" s="62" t="n">
        <f aca="false">IFERROR(F415*H415,"")</f>
        <v>267.96</v>
      </c>
      <c r="J415" s="60" t="n">
        <v>3.5</v>
      </c>
      <c r="K415" s="62" t="n">
        <f aca="false">IFERROR((F415-J415)*H415,"")</f>
        <v>166.46</v>
      </c>
      <c r="L415" s="63" t="n">
        <f aca="false">IFERROR(IF(F415&gt;0,LN(F415),""),"")</f>
        <v>2.22354188565359</v>
      </c>
      <c r="M415" s="63" t="n">
        <f aca="false">IFERROR(IF(H415&gt;0,LN(H415),""),"")</f>
        <v>3.36729582998647</v>
      </c>
    </row>
    <row r="416" customFormat="false" ht="15" hidden="false" customHeight="true" outlineLevel="0" collapsed="false">
      <c r="A416" s="60" t="n">
        <v>51</v>
      </c>
      <c r="B416" s="60" t="n">
        <v>2</v>
      </c>
      <c r="C416" s="60" t="s">
        <v>249</v>
      </c>
      <c r="D416" s="60" t="s">
        <v>81</v>
      </c>
      <c r="E416" s="60" t="s">
        <v>245</v>
      </c>
      <c r="F416" s="61" t="n">
        <v>9.68</v>
      </c>
      <c r="G416" s="61" t="n">
        <v>8.8</v>
      </c>
      <c r="H416" s="60" t="n">
        <v>28</v>
      </c>
      <c r="I416" s="62" t="n">
        <f aca="false">IFERROR(F416*H416,"")</f>
        <v>271.04</v>
      </c>
      <c r="J416" s="60" t="n">
        <v>3.5</v>
      </c>
      <c r="K416" s="62" t="n">
        <f aca="false">IFERROR((F416-J416)*H416,"")</f>
        <v>173.04</v>
      </c>
      <c r="L416" s="63" t="n">
        <f aca="false">IFERROR(IF(F416&gt;0,LN(F416),""),"")</f>
        <v>2.27006190128849</v>
      </c>
      <c r="M416" s="63" t="n">
        <f aca="false">IFERROR(IF(H416&gt;0,LN(H416),""),"")</f>
        <v>3.3322045101752</v>
      </c>
    </row>
    <row r="417" customFormat="false" ht="15" hidden="false" customHeight="true" outlineLevel="0" collapsed="false">
      <c r="A417" s="60" t="n">
        <v>52</v>
      </c>
      <c r="B417" s="60" t="n">
        <v>3</v>
      </c>
      <c r="C417" s="60" t="s">
        <v>249</v>
      </c>
      <c r="D417" s="60" t="s">
        <v>81</v>
      </c>
      <c r="E417" s="60" t="s">
        <v>245</v>
      </c>
      <c r="F417" s="61" t="n">
        <v>9.68</v>
      </c>
      <c r="G417" s="61" t="n">
        <v>8.8</v>
      </c>
      <c r="H417" s="60" t="n">
        <v>26</v>
      </c>
      <c r="I417" s="62" t="n">
        <f aca="false">IFERROR(F417*H417,"")</f>
        <v>251.68</v>
      </c>
      <c r="J417" s="60" t="n">
        <v>3.5</v>
      </c>
      <c r="K417" s="62" t="n">
        <f aca="false">IFERROR((F417-J417)*H417,"")</f>
        <v>160.68</v>
      </c>
      <c r="L417" s="63" t="n">
        <f aca="false">IFERROR(IF(F417&gt;0,LN(F417),""),"")</f>
        <v>2.27006190128849</v>
      </c>
      <c r="M417" s="63" t="n">
        <f aca="false">IFERROR(IF(H417&gt;0,LN(H417),""),"")</f>
        <v>3.25809653802148</v>
      </c>
    </row>
    <row r="418" customFormat="false" ht="15" hidden="false" customHeight="true" outlineLevel="0" collapsed="false">
      <c r="A418" s="60" t="n">
        <v>53</v>
      </c>
      <c r="B418" s="60" t="n">
        <v>4</v>
      </c>
      <c r="C418" s="60" t="s">
        <v>249</v>
      </c>
      <c r="D418" s="60" t="s">
        <v>81</v>
      </c>
      <c r="E418" s="60" t="s">
        <v>245</v>
      </c>
      <c r="F418" s="61" t="n">
        <v>8.36</v>
      </c>
      <c r="G418" s="61" t="n">
        <v>8.8</v>
      </c>
      <c r="H418" s="60" t="n">
        <v>26</v>
      </c>
      <c r="I418" s="62" t="n">
        <f aca="false">IFERROR(F418*H418,"")</f>
        <v>217.36</v>
      </c>
      <c r="J418" s="60" t="n">
        <v>3.5</v>
      </c>
      <c r="K418" s="62" t="n">
        <f aca="false">IFERROR((F418-J418)*H418,"")</f>
        <v>126.36</v>
      </c>
      <c r="L418" s="63" t="n">
        <f aca="false">IFERROR(IF(F418&gt;0,LN(F418),""),"")</f>
        <v>2.12345842709661</v>
      </c>
      <c r="M418" s="63" t="n">
        <f aca="false">IFERROR(IF(H418&gt;0,LN(H418),""),"")</f>
        <v>3.25809653802148</v>
      </c>
    </row>
    <row r="419" customFormat="false" ht="15" hidden="false" customHeight="true" outlineLevel="0" collapsed="false">
      <c r="A419" s="60" t="n">
        <v>54</v>
      </c>
      <c r="B419" s="60" t="n">
        <v>5</v>
      </c>
      <c r="C419" s="60" t="s">
        <v>249</v>
      </c>
      <c r="D419" s="60" t="s">
        <v>81</v>
      </c>
      <c r="E419" s="60" t="s">
        <v>245</v>
      </c>
      <c r="F419" s="61" t="n">
        <v>8.36</v>
      </c>
      <c r="G419" s="61" t="n">
        <v>8.8</v>
      </c>
      <c r="H419" s="60" t="n">
        <v>28</v>
      </c>
      <c r="I419" s="62" t="n">
        <f aca="false">IFERROR(F419*H419,"")</f>
        <v>234.08</v>
      </c>
      <c r="J419" s="60" t="n">
        <v>3.5</v>
      </c>
      <c r="K419" s="62" t="n">
        <f aca="false">IFERROR((F419-J419)*H419,"")</f>
        <v>136.08</v>
      </c>
      <c r="L419" s="63" t="n">
        <f aca="false">IFERROR(IF(F419&gt;0,LN(F419),""),"")</f>
        <v>2.12345842709661</v>
      </c>
      <c r="M419" s="63" t="n">
        <f aca="false">IFERROR(IF(H419&gt;0,LN(H419),""),"")</f>
        <v>3.3322045101752</v>
      </c>
    </row>
    <row r="420" customFormat="false" ht="15" hidden="false" customHeight="true" outlineLevel="0" collapsed="false">
      <c r="A420" s="60" t="n">
        <v>55</v>
      </c>
      <c r="B420" s="60" t="n">
        <v>6</v>
      </c>
      <c r="C420" s="60" t="s">
        <v>249</v>
      </c>
      <c r="D420" s="60" t="s">
        <v>81</v>
      </c>
      <c r="E420" s="60" t="s">
        <v>245</v>
      </c>
      <c r="F420" s="61" t="n">
        <v>8.36</v>
      </c>
      <c r="G420" s="61" t="n">
        <v>8.8</v>
      </c>
      <c r="H420" s="60" t="n">
        <v>24</v>
      </c>
      <c r="I420" s="62" t="n">
        <f aca="false">IFERROR(F420*H420,"")</f>
        <v>200.64</v>
      </c>
      <c r="J420" s="60" t="n">
        <v>3.5</v>
      </c>
      <c r="K420" s="62" t="n">
        <f aca="false">IFERROR((F420-J420)*H420,"")</f>
        <v>116.64</v>
      </c>
      <c r="L420" s="63" t="n">
        <f aca="false">IFERROR(IF(F420&gt;0,LN(F420),""),"")</f>
        <v>2.12345842709661</v>
      </c>
      <c r="M420" s="63" t="n">
        <f aca="false">IFERROR(IF(H420&gt;0,LN(H420),""),"")</f>
        <v>3.17805383034795</v>
      </c>
    </row>
    <row r="421" customFormat="false" ht="15" hidden="false" customHeight="true" outlineLevel="0" collapsed="false">
      <c r="A421" s="60" t="n">
        <v>56</v>
      </c>
      <c r="B421" s="60" t="n">
        <v>7</v>
      </c>
      <c r="C421" s="60" t="s">
        <v>249</v>
      </c>
      <c r="D421" s="60" t="s">
        <v>81</v>
      </c>
      <c r="E421" s="60" t="s">
        <v>245</v>
      </c>
      <c r="F421" s="61" t="n">
        <v>8.8</v>
      </c>
      <c r="G421" s="61" t="n">
        <v>8.8</v>
      </c>
      <c r="H421" s="60" t="n">
        <v>24</v>
      </c>
      <c r="I421" s="62" t="n">
        <f aca="false">IFERROR(F421*H421,"")</f>
        <v>211.2</v>
      </c>
      <c r="J421" s="60" t="n">
        <v>3.5</v>
      </c>
      <c r="K421" s="62" t="n">
        <f aca="false">IFERROR((F421-J421)*H421,"")</f>
        <v>127.2</v>
      </c>
      <c r="L421" s="63" t="n">
        <f aca="false">IFERROR(IF(F421&gt;0,LN(F421),""),"")</f>
        <v>2.17475172148416</v>
      </c>
      <c r="M421" s="63" t="n">
        <f aca="false">IFERROR(IF(H421&gt;0,LN(H421),""),"")</f>
        <v>3.17805383034795</v>
      </c>
    </row>
    <row r="422" customFormat="false" ht="15" hidden="false" customHeight="true" outlineLevel="0" collapsed="false">
      <c r="A422" s="60" t="n">
        <v>57</v>
      </c>
      <c r="B422" s="60" t="n">
        <v>1</v>
      </c>
      <c r="C422" s="60" t="s">
        <v>249</v>
      </c>
      <c r="D422" s="60" t="s">
        <v>81</v>
      </c>
      <c r="E422" s="60" t="s">
        <v>245</v>
      </c>
      <c r="F422" s="61" t="n">
        <v>8.8</v>
      </c>
      <c r="G422" s="61" t="n">
        <v>8.8</v>
      </c>
      <c r="H422" s="60" t="n">
        <v>23</v>
      </c>
      <c r="I422" s="62" t="n">
        <f aca="false">IFERROR(F422*H422,"")</f>
        <v>202.4</v>
      </c>
      <c r="J422" s="60" t="n">
        <v>3.5</v>
      </c>
      <c r="K422" s="62" t="n">
        <f aca="false">IFERROR((F422-J422)*H422,"")</f>
        <v>121.9</v>
      </c>
      <c r="L422" s="63" t="n">
        <f aca="false">IFERROR(IF(F422&gt;0,LN(F422),""),"")</f>
        <v>2.17475172148416</v>
      </c>
      <c r="M422" s="63" t="n">
        <f aca="false">IFERROR(IF(H422&gt;0,LN(H422),""),"")</f>
        <v>3.13549421592915</v>
      </c>
    </row>
    <row r="423" customFormat="false" ht="15" hidden="false" customHeight="true" outlineLevel="0" collapsed="false">
      <c r="A423" s="60" t="n">
        <v>58</v>
      </c>
      <c r="B423" s="60" t="n">
        <v>2</v>
      </c>
      <c r="C423" s="60" t="s">
        <v>249</v>
      </c>
      <c r="D423" s="60" t="s">
        <v>81</v>
      </c>
      <c r="E423" s="60" t="s">
        <v>245</v>
      </c>
      <c r="F423" s="61" t="n">
        <v>7.92</v>
      </c>
      <c r="G423" s="61" t="n">
        <v>8.8</v>
      </c>
      <c r="H423" s="60" t="n">
        <v>24</v>
      </c>
      <c r="I423" s="62" t="n">
        <f aca="false">IFERROR(F423*H423,"")</f>
        <v>190.08</v>
      </c>
      <c r="J423" s="60" t="n">
        <v>3.5</v>
      </c>
      <c r="K423" s="62" t="n">
        <f aca="false">IFERROR((F423-J423)*H423,"")</f>
        <v>106.08</v>
      </c>
      <c r="L423" s="63" t="n">
        <f aca="false">IFERROR(IF(F423&gt;0,LN(F423),""),"")</f>
        <v>2.06939120582633</v>
      </c>
      <c r="M423" s="63" t="n">
        <f aca="false">IFERROR(IF(H423&gt;0,LN(H423),""),"")</f>
        <v>3.17805383034795</v>
      </c>
    </row>
    <row r="424" customFormat="false" ht="15" hidden="false" customHeight="true" outlineLevel="0" collapsed="false">
      <c r="A424" s="60" t="n">
        <v>59</v>
      </c>
      <c r="B424" s="60" t="n">
        <v>3</v>
      </c>
      <c r="C424" s="60" t="s">
        <v>249</v>
      </c>
      <c r="D424" s="60" t="s">
        <v>81</v>
      </c>
      <c r="E424" s="60" t="s">
        <v>245</v>
      </c>
      <c r="F424" s="61" t="n">
        <v>8.36</v>
      </c>
      <c r="G424" s="61" t="n">
        <v>8.8</v>
      </c>
      <c r="H424" s="60" t="n">
        <v>26</v>
      </c>
      <c r="I424" s="62" t="n">
        <f aca="false">IFERROR(F424*H424,"")</f>
        <v>217.36</v>
      </c>
      <c r="J424" s="60" t="n">
        <v>3.5</v>
      </c>
      <c r="K424" s="62" t="n">
        <f aca="false">IFERROR((F424-J424)*H424,"")</f>
        <v>126.36</v>
      </c>
      <c r="L424" s="63" t="n">
        <f aca="false">IFERROR(IF(F424&gt;0,LN(F424),""),"")</f>
        <v>2.12345842709661</v>
      </c>
      <c r="M424" s="63" t="n">
        <f aca="false">IFERROR(IF(H424&gt;0,LN(H424),""),"")</f>
        <v>3.25809653802148</v>
      </c>
    </row>
    <row r="425" customFormat="false" ht="15" hidden="false" customHeight="true" outlineLevel="0" collapsed="false">
      <c r="A425" s="60" t="n">
        <v>60</v>
      </c>
      <c r="B425" s="60" t="n">
        <v>4</v>
      </c>
      <c r="C425" s="60" t="s">
        <v>249</v>
      </c>
      <c r="D425" s="60" t="s">
        <v>81</v>
      </c>
      <c r="E425" s="60" t="s">
        <v>245</v>
      </c>
      <c r="F425" s="61" t="n">
        <v>8.8</v>
      </c>
      <c r="G425" s="61" t="n">
        <v>8.8</v>
      </c>
      <c r="H425" s="60" t="n">
        <v>28</v>
      </c>
      <c r="I425" s="62" t="n">
        <f aca="false">IFERROR(F425*H425,"")</f>
        <v>246.4</v>
      </c>
      <c r="J425" s="60" t="n">
        <v>3.5</v>
      </c>
      <c r="K425" s="62" t="n">
        <f aca="false">IFERROR((F425-J425)*H425,"")</f>
        <v>148.4</v>
      </c>
      <c r="L425" s="63" t="n">
        <f aca="false">IFERROR(IF(F425&gt;0,LN(F425),""),"")</f>
        <v>2.17475172148416</v>
      </c>
      <c r="M425" s="63" t="n">
        <f aca="false">IFERROR(IF(H425&gt;0,LN(H425),""),"")</f>
        <v>3.3322045101752</v>
      </c>
    </row>
    <row r="426" customFormat="false" ht="15" hidden="false" customHeight="true" outlineLevel="0" collapsed="false">
      <c r="A426" s="60" t="n">
        <v>61</v>
      </c>
      <c r="B426" s="60" t="n">
        <v>5</v>
      </c>
      <c r="C426" s="60" t="s">
        <v>249</v>
      </c>
      <c r="D426" s="60" t="s">
        <v>81</v>
      </c>
      <c r="E426" s="60" t="s">
        <v>245</v>
      </c>
      <c r="F426" s="61" t="n">
        <v>7.92</v>
      </c>
      <c r="G426" s="61" t="n">
        <v>8.8</v>
      </c>
      <c r="H426" s="60" t="n">
        <v>25</v>
      </c>
      <c r="I426" s="62" t="n">
        <f aca="false">IFERROR(F426*H426,"")</f>
        <v>198</v>
      </c>
      <c r="J426" s="60" t="n">
        <v>3.5</v>
      </c>
      <c r="K426" s="62" t="n">
        <f aca="false">IFERROR((F426-J426)*H426,"")</f>
        <v>110.5</v>
      </c>
      <c r="L426" s="63" t="n">
        <f aca="false">IFERROR(IF(F426&gt;0,LN(F426),""),"")</f>
        <v>2.06939120582633</v>
      </c>
      <c r="M426" s="63" t="n">
        <f aca="false">IFERROR(IF(H426&gt;0,LN(H426),""),"")</f>
        <v>3.2188758248682</v>
      </c>
    </row>
    <row r="427" customFormat="false" ht="15" hidden="false" customHeight="true" outlineLevel="0" collapsed="false">
      <c r="A427" s="60" t="n">
        <v>62</v>
      </c>
      <c r="B427" s="60" t="n">
        <v>6</v>
      </c>
      <c r="C427" s="60" t="s">
        <v>249</v>
      </c>
      <c r="D427" s="60" t="s">
        <v>81</v>
      </c>
      <c r="E427" s="60" t="s">
        <v>245</v>
      </c>
      <c r="F427" s="61" t="n">
        <v>9.68</v>
      </c>
      <c r="G427" s="61" t="n">
        <v>8.8</v>
      </c>
      <c r="H427" s="60" t="n">
        <v>17</v>
      </c>
      <c r="I427" s="62" t="n">
        <f aca="false">IFERROR(F427*H427,"")</f>
        <v>164.56</v>
      </c>
      <c r="J427" s="60" t="n">
        <v>3.5</v>
      </c>
      <c r="K427" s="62" t="n">
        <f aca="false">IFERROR((F427-J427)*H427,"")</f>
        <v>105.06</v>
      </c>
      <c r="L427" s="63" t="n">
        <f aca="false">IFERROR(IF(F427&gt;0,LN(F427),""),"")</f>
        <v>2.27006190128849</v>
      </c>
      <c r="M427" s="63" t="n">
        <f aca="false">IFERROR(IF(H427&gt;0,LN(H427),""),"")</f>
        <v>2.83321334405622</v>
      </c>
    </row>
    <row r="428" customFormat="false" ht="15" hidden="false" customHeight="true" outlineLevel="0" collapsed="false">
      <c r="A428" s="60" t="n">
        <v>63</v>
      </c>
      <c r="B428" s="60" t="n">
        <v>7</v>
      </c>
      <c r="C428" s="60" t="s">
        <v>249</v>
      </c>
      <c r="D428" s="60" t="s">
        <v>81</v>
      </c>
      <c r="E428" s="60" t="s">
        <v>245</v>
      </c>
      <c r="F428" s="61" t="n">
        <v>9.24</v>
      </c>
      <c r="G428" s="61" t="n">
        <v>8.8</v>
      </c>
      <c r="H428" s="60" t="n">
        <v>20</v>
      </c>
      <c r="I428" s="62" t="n">
        <f aca="false">IFERROR(F428*H428,"")</f>
        <v>184.8</v>
      </c>
      <c r="J428" s="60" t="n">
        <v>3.5</v>
      </c>
      <c r="K428" s="62" t="n">
        <f aca="false">IFERROR((F428-J428)*H428,"")</f>
        <v>114.8</v>
      </c>
      <c r="L428" s="63" t="n">
        <f aca="false">IFERROR(IF(F428&gt;0,LN(F428),""),"")</f>
        <v>2.22354188565359</v>
      </c>
      <c r="M428" s="63" t="n">
        <f aca="false">IFERROR(IF(H428&gt;0,LN(H428),""),"")</f>
        <v>2.99573227355399</v>
      </c>
    </row>
    <row r="429" customFormat="false" ht="15" hidden="false" customHeight="true" outlineLevel="0" collapsed="false">
      <c r="A429" s="60" t="n">
        <v>64</v>
      </c>
      <c r="B429" s="60" t="n">
        <v>1</v>
      </c>
      <c r="C429" s="60" t="s">
        <v>249</v>
      </c>
      <c r="D429" s="60" t="s">
        <v>81</v>
      </c>
      <c r="E429" s="60" t="s">
        <v>245</v>
      </c>
      <c r="F429" s="61" t="n">
        <v>8.8</v>
      </c>
      <c r="G429" s="61" t="n">
        <v>8.8</v>
      </c>
      <c r="H429" s="60" t="n">
        <v>19</v>
      </c>
      <c r="I429" s="62" t="n">
        <f aca="false">IFERROR(F429*H429,"")</f>
        <v>167.2</v>
      </c>
      <c r="J429" s="60" t="n">
        <v>3.5</v>
      </c>
      <c r="K429" s="62" t="n">
        <f aca="false">IFERROR((F429-J429)*H429,"")</f>
        <v>100.7</v>
      </c>
      <c r="L429" s="63" t="n">
        <f aca="false">IFERROR(IF(F429&gt;0,LN(F429),""),"")</f>
        <v>2.17475172148416</v>
      </c>
      <c r="M429" s="63" t="n">
        <f aca="false">IFERROR(IF(H429&gt;0,LN(H429),""),"")</f>
        <v>2.94443897916644</v>
      </c>
    </row>
    <row r="430" customFormat="false" ht="15" hidden="false" customHeight="true" outlineLevel="0" collapsed="false">
      <c r="A430" s="60" t="n">
        <v>65</v>
      </c>
      <c r="B430" s="60" t="n">
        <v>2</v>
      </c>
      <c r="C430" s="60" t="s">
        <v>249</v>
      </c>
      <c r="D430" s="60" t="s">
        <v>81</v>
      </c>
      <c r="E430" s="60" t="s">
        <v>245</v>
      </c>
      <c r="F430" s="61" t="n">
        <v>7.92</v>
      </c>
      <c r="G430" s="61" t="n">
        <v>8.8</v>
      </c>
      <c r="H430" s="60" t="n">
        <v>23</v>
      </c>
      <c r="I430" s="62" t="n">
        <f aca="false">IFERROR(F430*H430,"")</f>
        <v>182.16</v>
      </c>
      <c r="J430" s="60" t="n">
        <v>3.5</v>
      </c>
      <c r="K430" s="62" t="n">
        <f aca="false">IFERROR((F430-J430)*H430,"")</f>
        <v>101.66</v>
      </c>
      <c r="L430" s="63" t="n">
        <f aca="false">IFERROR(IF(F430&gt;0,LN(F430),""),"")</f>
        <v>2.06939120582633</v>
      </c>
      <c r="M430" s="63" t="n">
        <f aca="false">IFERROR(IF(H430&gt;0,LN(H430),""),"")</f>
        <v>3.13549421592915</v>
      </c>
    </row>
    <row r="431" customFormat="false" ht="15" hidden="false" customHeight="true" outlineLevel="0" collapsed="false">
      <c r="A431" s="60" t="n">
        <v>66</v>
      </c>
      <c r="B431" s="60" t="n">
        <v>3</v>
      </c>
      <c r="C431" s="60" t="s">
        <v>249</v>
      </c>
      <c r="D431" s="60" t="s">
        <v>81</v>
      </c>
      <c r="E431" s="60" t="s">
        <v>245</v>
      </c>
      <c r="F431" s="61" t="n">
        <v>8.8</v>
      </c>
      <c r="G431" s="61" t="n">
        <v>8.8</v>
      </c>
      <c r="H431" s="60" t="n">
        <v>24</v>
      </c>
      <c r="I431" s="62" t="n">
        <f aca="false">IFERROR(F431*H431,"")</f>
        <v>211.2</v>
      </c>
      <c r="J431" s="60" t="n">
        <v>3.5</v>
      </c>
      <c r="K431" s="62" t="n">
        <f aca="false">IFERROR((F431-J431)*H431,"")</f>
        <v>127.2</v>
      </c>
      <c r="L431" s="63" t="n">
        <f aca="false">IFERROR(IF(F431&gt;0,LN(F431),""),"")</f>
        <v>2.17475172148416</v>
      </c>
      <c r="M431" s="63" t="n">
        <f aca="false">IFERROR(IF(H431&gt;0,LN(H431),""),"")</f>
        <v>3.17805383034795</v>
      </c>
    </row>
    <row r="432" customFormat="false" ht="15" hidden="false" customHeight="true" outlineLevel="0" collapsed="false">
      <c r="A432" s="60" t="n">
        <v>67</v>
      </c>
      <c r="B432" s="60" t="n">
        <v>4</v>
      </c>
      <c r="C432" s="60" t="s">
        <v>249</v>
      </c>
      <c r="D432" s="60" t="s">
        <v>81</v>
      </c>
      <c r="E432" s="60" t="s">
        <v>245</v>
      </c>
      <c r="F432" s="61" t="n">
        <v>8.36</v>
      </c>
      <c r="G432" s="61" t="n">
        <v>8.8</v>
      </c>
      <c r="H432" s="60" t="n">
        <v>29</v>
      </c>
      <c r="I432" s="62" t="n">
        <f aca="false">IFERROR(F432*H432,"")</f>
        <v>242.44</v>
      </c>
      <c r="J432" s="60" t="n">
        <v>3.5</v>
      </c>
      <c r="K432" s="62" t="n">
        <f aca="false">IFERROR((F432-J432)*H432,"")</f>
        <v>140.94</v>
      </c>
      <c r="L432" s="63" t="n">
        <f aca="false">IFERROR(IF(F432&gt;0,LN(F432),""),"")</f>
        <v>2.12345842709661</v>
      </c>
      <c r="M432" s="63" t="n">
        <f aca="false">IFERROR(IF(H432&gt;0,LN(H432),""),"")</f>
        <v>3.36729582998647</v>
      </c>
    </row>
    <row r="433" customFormat="false" ht="15" hidden="false" customHeight="true" outlineLevel="0" collapsed="false">
      <c r="A433" s="60" t="n">
        <v>68</v>
      </c>
      <c r="B433" s="60" t="n">
        <v>5</v>
      </c>
      <c r="C433" s="60" t="s">
        <v>249</v>
      </c>
      <c r="D433" s="60" t="s">
        <v>81</v>
      </c>
      <c r="E433" s="60" t="s">
        <v>245</v>
      </c>
      <c r="F433" s="61" t="n">
        <v>8.8</v>
      </c>
      <c r="G433" s="61" t="n">
        <v>8.8</v>
      </c>
      <c r="H433" s="60" t="n">
        <v>26</v>
      </c>
      <c r="I433" s="62" t="n">
        <f aca="false">IFERROR(F433*H433,"")</f>
        <v>228.8</v>
      </c>
      <c r="J433" s="60" t="n">
        <v>3.5</v>
      </c>
      <c r="K433" s="62" t="n">
        <f aca="false">IFERROR((F433-J433)*H433,"")</f>
        <v>137.8</v>
      </c>
      <c r="L433" s="63" t="n">
        <f aca="false">IFERROR(IF(F433&gt;0,LN(F433),""),"")</f>
        <v>2.17475172148416</v>
      </c>
      <c r="M433" s="63" t="n">
        <f aca="false">IFERROR(IF(H433&gt;0,LN(H433),""),"")</f>
        <v>3.25809653802148</v>
      </c>
    </row>
    <row r="434" customFormat="false" ht="15" hidden="false" customHeight="true" outlineLevel="0" collapsed="false">
      <c r="A434" s="60" t="n">
        <v>69</v>
      </c>
      <c r="B434" s="60" t="n">
        <v>6</v>
      </c>
      <c r="C434" s="60" t="s">
        <v>249</v>
      </c>
      <c r="D434" s="60" t="s">
        <v>81</v>
      </c>
      <c r="E434" s="60" t="s">
        <v>245</v>
      </c>
      <c r="F434" s="61" t="n">
        <v>9.24</v>
      </c>
      <c r="G434" s="61" t="n">
        <v>8.8</v>
      </c>
      <c r="H434" s="60" t="n">
        <v>24</v>
      </c>
      <c r="I434" s="62" t="n">
        <f aca="false">IFERROR(F434*H434,"")</f>
        <v>221.76</v>
      </c>
      <c r="J434" s="60" t="n">
        <v>3.5</v>
      </c>
      <c r="K434" s="62" t="n">
        <f aca="false">IFERROR((F434-J434)*H434,"")</f>
        <v>137.76</v>
      </c>
      <c r="L434" s="63" t="n">
        <f aca="false">IFERROR(IF(F434&gt;0,LN(F434),""),"")</f>
        <v>2.22354188565359</v>
      </c>
      <c r="M434" s="63" t="n">
        <f aca="false">IFERROR(IF(H434&gt;0,LN(H434),""),"")</f>
        <v>3.17805383034795</v>
      </c>
    </row>
    <row r="435" customFormat="false" ht="15" hidden="false" customHeight="true" outlineLevel="0" collapsed="false">
      <c r="A435" s="60" t="n">
        <v>70</v>
      </c>
      <c r="B435" s="60" t="n">
        <v>7</v>
      </c>
      <c r="C435" s="60" t="s">
        <v>249</v>
      </c>
      <c r="D435" s="60" t="s">
        <v>81</v>
      </c>
      <c r="E435" s="60" t="s">
        <v>245</v>
      </c>
      <c r="F435" s="61" t="n">
        <v>8.8</v>
      </c>
      <c r="G435" s="61" t="n">
        <v>8.8</v>
      </c>
      <c r="H435" s="60" t="n">
        <v>21</v>
      </c>
      <c r="I435" s="62" t="n">
        <f aca="false">IFERROR(F435*H435,"")</f>
        <v>184.8</v>
      </c>
      <c r="J435" s="60" t="n">
        <v>3.5</v>
      </c>
      <c r="K435" s="62" t="n">
        <f aca="false">IFERROR((F435-J435)*H435,"")</f>
        <v>111.3</v>
      </c>
      <c r="L435" s="63" t="n">
        <f aca="false">IFERROR(IF(F435&gt;0,LN(F435),""),"")</f>
        <v>2.17475172148416</v>
      </c>
      <c r="M435" s="63" t="n">
        <f aca="false">IFERROR(IF(H435&gt;0,LN(H435),""),"")</f>
        <v>3.04452243772342</v>
      </c>
    </row>
    <row r="436" customFormat="false" ht="15" hidden="false" customHeight="true" outlineLevel="0" collapsed="false">
      <c r="A436" s="60" t="n">
        <v>71</v>
      </c>
      <c r="B436" s="60" t="n">
        <v>1</v>
      </c>
      <c r="C436" s="60" t="s">
        <v>249</v>
      </c>
      <c r="D436" s="60" t="s">
        <v>81</v>
      </c>
      <c r="E436" s="60" t="s">
        <v>245</v>
      </c>
      <c r="F436" s="61" t="n">
        <v>8.8</v>
      </c>
      <c r="G436" s="61" t="n">
        <v>8.8</v>
      </c>
      <c r="H436" s="60" t="n">
        <v>29</v>
      </c>
      <c r="I436" s="62" t="n">
        <f aca="false">IFERROR(F436*H436,"")</f>
        <v>255.2</v>
      </c>
      <c r="J436" s="60" t="n">
        <v>3.5</v>
      </c>
      <c r="K436" s="62" t="n">
        <f aca="false">IFERROR((F436-J436)*H436,"")</f>
        <v>153.7</v>
      </c>
      <c r="L436" s="63" t="n">
        <f aca="false">IFERROR(IF(F436&gt;0,LN(F436),""),"")</f>
        <v>2.17475172148416</v>
      </c>
      <c r="M436" s="63" t="n">
        <f aca="false">IFERROR(IF(H436&gt;0,LN(H436),""),"")</f>
        <v>3.36729582998647</v>
      </c>
    </row>
    <row r="437" customFormat="false" ht="15" hidden="false" customHeight="true" outlineLevel="0" collapsed="false">
      <c r="A437" s="60" t="n">
        <v>72</v>
      </c>
      <c r="B437" s="60" t="n">
        <v>2</v>
      </c>
      <c r="C437" s="60" t="s">
        <v>249</v>
      </c>
      <c r="D437" s="60" t="s">
        <v>81</v>
      </c>
      <c r="E437" s="60" t="s">
        <v>245</v>
      </c>
      <c r="F437" s="61" t="n">
        <v>9.68</v>
      </c>
      <c r="G437" s="61" t="n">
        <v>8.8</v>
      </c>
      <c r="H437" s="60" t="n">
        <v>27</v>
      </c>
      <c r="I437" s="62" t="n">
        <f aca="false">IFERROR(F437*H437,"")</f>
        <v>261.36</v>
      </c>
      <c r="J437" s="60" t="n">
        <v>3.5</v>
      </c>
      <c r="K437" s="62" t="n">
        <f aca="false">IFERROR((F437-J437)*H437,"")</f>
        <v>166.86</v>
      </c>
      <c r="L437" s="63" t="n">
        <f aca="false">IFERROR(IF(F437&gt;0,LN(F437),""),"")</f>
        <v>2.27006190128849</v>
      </c>
      <c r="M437" s="63" t="n">
        <f aca="false">IFERROR(IF(H437&gt;0,LN(H437),""),"")</f>
        <v>3.29583686600433</v>
      </c>
    </row>
    <row r="438" customFormat="false" ht="15" hidden="false" customHeight="true" outlineLevel="0" collapsed="false">
      <c r="A438" s="60" t="n">
        <v>73</v>
      </c>
      <c r="B438" s="60" t="n">
        <v>3</v>
      </c>
      <c r="C438" s="60" t="s">
        <v>249</v>
      </c>
      <c r="D438" s="60" t="s">
        <v>81</v>
      </c>
      <c r="E438" s="60" t="s">
        <v>245</v>
      </c>
      <c r="F438" s="61" t="n">
        <v>8.8</v>
      </c>
      <c r="G438" s="61" t="n">
        <v>8.8</v>
      </c>
      <c r="H438" s="60" t="n">
        <v>29</v>
      </c>
      <c r="I438" s="62" t="n">
        <f aca="false">IFERROR(F438*H438,"")</f>
        <v>255.2</v>
      </c>
      <c r="J438" s="60" t="n">
        <v>3.5</v>
      </c>
      <c r="K438" s="62" t="n">
        <f aca="false">IFERROR((F438-J438)*H438,"")</f>
        <v>153.7</v>
      </c>
      <c r="L438" s="63" t="n">
        <f aca="false">IFERROR(IF(F438&gt;0,LN(F438),""),"")</f>
        <v>2.17475172148416</v>
      </c>
      <c r="M438" s="63" t="n">
        <f aca="false">IFERROR(IF(H438&gt;0,LN(H438),""),"")</f>
        <v>3.36729582998647</v>
      </c>
    </row>
    <row r="439" customFormat="false" ht="15" hidden="false" customHeight="true" outlineLevel="0" collapsed="false">
      <c r="A439" s="60" t="n">
        <v>74</v>
      </c>
      <c r="B439" s="60" t="n">
        <v>4</v>
      </c>
      <c r="C439" s="60" t="s">
        <v>249</v>
      </c>
      <c r="D439" s="60" t="s">
        <v>81</v>
      </c>
      <c r="E439" s="60" t="s">
        <v>245</v>
      </c>
      <c r="F439" s="61" t="n">
        <v>8.8</v>
      </c>
      <c r="G439" s="61" t="n">
        <v>8.8</v>
      </c>
      <c r="H439" s="60" t="n">
        <v>23</v>
      </c>
      <c r="I439" s="62" t="n">
        <f aca="false">IFERROR(F439*H439,"")</f>
        <v>202.4</v>
      </c>
      <c r="J439" s="60" t="n">
        <v>3.5</v>
      </c>
      <c r="K439" s="62" t="n">
        <f aca="false">IFERROR((F439-J439)*H439,"")</f>
        <v>121.9</v>
      </c>
      <c r="L439" s="63" t="n">
        <f aca="false">IFERROR(IF(F439&gt;0,LN(F439),""),"")</f>
        <v>2.17475172148416</v>
      </c>
      <c r="M439" s="63" t="n">
        <f aca="false">IFERROR(IF(H439&gt;0,LN(H439),""),"")</f>
        <v>3.13549421592915</v>
      </c>
    </row>
    <row r="440" customFormat="false" ht="15" hidden="false" customHeight="true" outlineLevel="0" collapsed="false">
      <c r="A440" s="60" t="n">
        <v>75</v>
      </c>
      <c r="B440" s="60" t="n">
        <v>5</v>
      </c>
      <c r="C440" s="60" t="s">
        <v>249</v>
      </c>
      <c r="D440" s="60" t="s">
        <v>81</v>
      </c>
      <c r="E440" s="60" t="s">
        <v>245</v>
      </c>
      <c r="F440" s="61" t="n">
        <v>8.8</v>
      </c>
      <c r="G440" s="61" t="n">
        <v>8.8</v>
      </c>
      <c r="H440" s="60" t="n">
        <v>26</v>
      </c>
      <c r="I440" s="62" t="n">
        <f aca="false">IFERROR(F440*H440,"")</f>
        <v>228.8</v>
      </c>
      <c r="J440" s="60" t="n">
        <v>3.5</v>
      </c>
      <c r="K440" s="62" t="n">
        <f aca="false">IFERROR((F440-J440)*H440,"")</f>
        <v>137.8</v>
      </c>
      <c r="L440" s="63" t="n">
        <f aca="false">IFERROR(IF(F440&gt;0,LN(F440),""),"")</f>
        <v>2.17475172148416</v>
      </c>
      <c r="M440" s="63" t="n">
        <f aca="false">IFERROR(IF(H440&gt;0,LN(H440),""),"")</f>
        <v>3.25809653802148</v>
      </c>
    </row>
    <row r="441" customFormat="false" ht="15" hidden="false" customHeight="true" outlineLevel="0" collapsed="false">
      <c r="A441" s="60" t="n">
        <v>76</v>
      </c>
      <c r="B441" s="60" t="n">
        <v>6</v>
      </c>
      <c r="C441" s="60" t="s">
        <v>249</v>
      </c>
      <c r="D441" s="60" t="s">
        <v>81</v>
      </c>
      <c r="E441" s="60" t="s">
        <v>245</v>
      </c>
      <c r="F441" s="61" t="n">
        <v>8.8</v>
      </c>
      <c r="G441" s="61" t="n">
        <v>8.8</v>
      </c>
      <c r="H441" s="60" t="n">
        <v>26</v>
      </c>
      <c r="I441" s="62" t="n">
        <f aca="false">IFERROR(F441*H441,"")</f>
        <v>228.8</v>
      </c>
      <c r="J441" s="60" t="n">
        <v>3.5</v>
      </c>
      <c r="K441" s="62" t="n">
        <f aca="false">IFERROR((F441-J441)*H441,"")</f>
        <v>137.8</v>
      </c>
      <c r="L441" s="63" t="n">
        <f aca="false">IFERROR(IF(F441&gt;0,LN(F441),""),"")</f>
        <v>2.17475172148416</v>
      </c>
      <c r="M441" s="63" t="n">
        <f aca="false">IFERROR(IF(H441&gt;0,LN(H441),""),"")</f>
        <v>3.25809653802148</v>
      </c>
    </row>
    <row r="442" customFormat="false" ht="15" hidden="false" customHeight="true" outlineLevel="0" collapsed="false">
      <c r="A442" s="60" t="n">
        <v>77</v>
      </c>
      <c r="B442" s="60" t="n">
        <v>7</v>
      </c>
      <c r="C442" s="60" t="s">
        <v>249</v>
      </c>
      <c r="D442" s="60" t="s">
        <v>81</v>
      </c>
      <c r="E442" s="60" t="s">
        <v>245</v>
      </c>
      <c r="F442" s="61" t="n">
        <v>9.68</v>
      </c>
      <c r="G442" s="61" t="n">
        <v>8.8</v>
      </c>
      <c r="H442" s="60" t="n">
        <v>22</v>
      </c>
      <c r="I442" s="62" t="n">
        <f aca="false">IFERROR(F442*H442,"")</f>
        <v>212.96</v>
      </c>
      <c r="J442" s="60" t="n">
        <v>3.5</v>
      </c>
      <c r="K442" s="62" t="n">
        <f aca="false">IFERROR((F442-J442)*H442,"")</f>
        <v>135.96</v>
      </c>
      <c r="L442" s="63" t="n">
        <f aca="false">IFERROR(IF(F442&gt;0,LN(F442),""),"")</f>
        <v>2.27006190128849</v>
      </c>
      <c r="M442" s="63" t="n">
        <f aca="false">IFERROR(IF(H442&gt;0,LN(H442),""),"")</f>
        <v>3.09104245335832</v>
      </c>
    </row>
    <row r="443" customFormat="false" ht="15" hidden="false" customHeight="true" outlineLevel="0" collapsed="false">
      <c r="A443" s="60" t="n">
        <v>78</v>
      </c>
      <c r="B443" s="60" t="n">
        <v>1</v>
      </c>
      <c r="C443" s="60" t="s">
        <v>249</v>
      </c>
      <c r="D443" s="60" t="s">
        <v>81</v>
      </c>
      <c r="E443" s="60" t="s">
        <v>245</v>
      </c>
      <c r="F443" s="61" t="n">
        <v>7.92</v>
      </c>
      <c r="G443" s="61" t="n">
        <v>8.8</v>
      </c>
      <c r="H443" s="60" t="n">
        <v>31</v>
      </c>
      <c r="I443" s="62" t="n">
        <f aca="false">IFERROR(F443*H443,"")</f>
        <v>245.52</v>
      </c>
      <c r="J443" s="60" t="n">
        <v>3.5</v>
      </c>
      <c r="K443" s="62" t="n">
        <f aca="false">IFERROR((F443-J443)*H443,"")</f>
        <v>137.02</v>
      </c>
      <c r="L443" s="63" t="n">
        <f aca="false">IFERROR(IF(F443&gt;0,LN(F443),""),"")</f>
        <v>2.06939120582633</v>
      </c>
      <c r="M443" s="63" t="n">
        <f aca="false">IFERROR(IF(H443&gt;0,LN(H443),""),"")</f>
        <v>3.43398720448515</v>
      </c>
    </row>
    <row r="444" customFormat="false" ht="15" hidden="false" customHeight="true" outlineLevel="0" collapsed="false">
      <c r="A444" s="60" t="n">
        <v>79</v>
      </c>
      <c r="B444" s="60" t="n">
        <v>2</v>
      </c>
      <c r="C444" s="60" t="s">
        <v>249</v>
      </c>
      <c r="D444" s="60" t="s">
        <v>81</v>
      </c>
      <c r="E444" s="60" t="s">
        <v>245</v>
      </c>
      <c r="F444" s="61" t="n">
        <v>8.36</v>
      </c>
      <c r="G444" s="61" t="n">
        <v>8.8</v>
      </c>
      <c r="H444" s="60" t="n">
        <v>35</v>
      </c>
      <c r="I444" s="62" t="n">
        <f aca="false">IFERROR(F444*H444,"")</f>
        <v>292.6</v>
      </c>
      <c r="J444" s="60" t="n">
        <v>3.5</v>
      </c>
      <c r="K444" s="62" t="n">
        <f aca="false">IFERROR((F444-J444)*H444,"")</f>
        <v>170.1</v>
      </c>
      <c r="L444" s="63" t="n">
        <f aca="false">IFERROR(IF(F444&gt;0,LN(F444),""),"")</f>
        <v>2.12345842709661</v>
      </c>
      <c r="M444" s="63" t="n">
        <f aca="false">IFERROR(IF(H444&gt;0,LN(H444),""),"")</f>
        <v>3.55534806148941</v>
      </c>
    </row>
    <row r="445" customFormat="false" ht="15" hidden="false" customHeight="true" outlineLevel="0" collapsed="false">
      <c r="A445" s="60" t="n">
        <v>80</v>
      </c>
      <c r="B445" s="60" t="n">
        <v>3</v>
      </c>
      <c r="C445" s="60" t="s">
        <v>249</v>
      </c>
      <c r="D445" s="60" t="s">
        <v>81</v>
      </c>
      <c r="E445" s="60" t="s">
        <v>245</v>
      </c>
      <c r="F445" s="61" t="n">
        <v>9.24</v>
      </c>
      <c r="G445" s="61" t="n">
        <v>8.8</v>
      </c>
      <c r="H445" s="60" t="n">
        <v>22</v>
      </c>
      <c r="I445" s="62" t="n">
        <f aca="false">IFERROR(F445*H445,"")</f>
        <v>203.28</v>
      </c>
      <c r="J445" s="60" t="n">
        <v>3.5</v>
      </c>
      <c r="K445" s="62" t="n">
        <f aca="false">IFERROR((F445-J445)*H445,"")</f>
        <v>126.28</v>
      </c>
      <c r="L445" s="63" t="n">
        <f aca="false">IFERROR(IF(F445&gt;0,LN(F445),""),"")</f>
        <v>2.22354188565359</v>
      </c>
      <c r="M445" s="63" t="n">
        <f aca="false">IFERROR(IF(H445&gt;0,LN(H445),""),"")</f>
        <v>3.09104245335832</v>
      </c>
    </row>
    <row r="446" customFormat="false" ht="15" hidden="false" customHeight="true" outlineLevel="0" collapsed="false">
      <c r="A446" s="60" t="n">
        <v>81</v>
      </c>
      <c r="B446" s="60" t="n">
        <v>4</v>
      </c>
      <c r="C446" s="60" t="s">
        <v>249</v>
      </c>
      <c r="D446" s="60" t="s">
        <v>81</v>
      </c>
      <c r="E446" s="60" t="s">
        <v>245</v>
      </c>
      <c r="F446" s="61" t="n">
        <v>9.24</v>
      </c>
      <c r="G446" s="61" t="n">
        <v>8.8</v>
      </c>
      <c r="H446" s="60" t="n">
        <v>42</v>
      </c>
      <c r="I446" s="62" t="n">
        <f aca="false">IFERROR(F446*H446,"")</f>
        <v>388.08</v>
      </c>
      <c r="J446" s="60" t="n">
        <v>3.5</v>
      </c>
      <c r="K446" s="62" t="n">
        <f aca="false">IFERROR((F446-J446)*H446,"")</f>
        <v>241.08</v>
      </c>
      <c r="L446" s="63" t="n">
        <f aca="false">IFERROR(IF(F446&gt;0,LN(F446),""),"")</f>
        <v>2.22354188565359</v>
      </c>
      <c r="M446" s="63" t="n">
        <f aca="false">IFERROR(IF(H446&gt;0,LN(H446),""),"")</f>
        <v>3.73766961828337</v>
      </c>
    </row>
    <row r="447" customFormat="false" ht="15" hidden="false" customHeight="true" outlineLevel="0" collapsed="false">
      <c r="A447" s="60" t="n">
        <v>82</v>
      </c>
      <c r="B447" s="60" t="n">
        <v>5</v>
      </c>
      <c r="C447" s="60" t="s">
        <v>249</v>
      </c>
      <c r="D447" s="60" t="s">
        <v>81</v>
      </c>
      <c r="E447" s="60" t="s">
        <v>245</v>
      </c>
      <c r="F447" s="61" t="n">
        <v>9.68</v>
      </c>
      <c r="G447" s="61" t="n">
        <v>8.8</v>
      </c>
      <c r="H447" s="60" t="n">
        <v>19</v>
      </c>
      <c r="I447" s="62" t="n">
        <f aca="false">IFERROR(F447*H447,"")</f>
        <v>183.92</v>
      </c>
      <c r="J447" s="60" t="n">
        <v>3.5</v>
      </c>
      <c r="K447" s="62" t="n">
        <f aca="false">IFERROR((F447-J447)*H447,"")</f>
        <v>117.42</v>
      </c>
      <c r="L447" s="63" t="n">
        <f aca="false">IFERROR(IF(F447&gt;0,LN(F447),""),"")</f>
        <v>2.27006190128849</v>
      </c>
      <c r="M447" s="63" t="n">
        <f aca="false">IFERROR(IF(H447&gt;0,LN(H447),""),"")</f>
        <v>2.94443897916644</v>
      </c>
    </row>
    <row r="448" customFormat="false" ht="15" hidden="false" customHeight="true" outlineLevel="0" collapsed="false">
      <c r="A448" s="60" t="n">
        <v>83</v>
      </c>
      <c r="B448" s="60" t="n">
        <v>6</v>
      </c>
      <c r="C448" s="60" t="s">
        <v>249</v>
      </c>
      <c r="D448" s="60" t="s">
        <v>81</v>
      </c>
      <c r="E448" s="60" t="s">
        <v>245</v>
      </c>
      <c r="F448" s="61" t="n">
        <v>8.8</v>
      </c>
      <c r="G448" s="61" t="n">
        <v>8.8</v>
      </c>
      <c r="H448" s="60" t="n">
        <v>20</v>
      </c>
      <c r="I448" s="62" t="n">
        <f aca="false">IFERROR(F448*H448,"")</f>
        <v>176</v>
      </c>
      <c r="J448" s="60" t="n">
        <v>3.5</v>
      </c>
      <c r="K448" s="62" t="n">
        <f aca="false">IFERROR((F448-J448)*H448,"")</f>
        <v>106</v>
      </c>
      <c r="L448" s="63" t="n">
        <f aca="false">IFERROR(IF(F448&gt;0,LN(F448),""),"")</f>
        <v>2.17475172148416</v>
      </c>
      <c r="M448" s="63" t="n">
        <f aca="false">IFERROR(IF(H448&gt;0,LN(H448),""),"")</f>
        <v>2.99573227355399</v>
      </c>
    </row>
    <row r="449" customFormat="false" ht="15" hidden="false" customHeight="true" outlineLevel="0" collapsed="false">
      <c r="A449" s="60" t="n">
        <v>84</v>
      </c>
      <c r="B449" s="60" t="n">
        <v>7</v>
      </c>
      <c r="C449" s="60" t="s">
        <v>249</v>
      </c>
      <c r="D449" s="60" t="s">
        <v>81</v>
      </c>
      <c r="E449" s="60" t="s">
        <v>245</v>
      </c>
      <c r="F449" s="61" t="n">
        <v>8.36</v>
      </c>
      <c r="G449" s="61" t="n">
        <v>8.8</v>
      </c>
      <c r="H449" s="60" t="n">
        <v>23</v>
      </c>
      <c r="I449" s="62" t="n">
        <f aca="false">IFERROR(F449*H449,"")</f>
        <v>192.28</v>
      </c>
      <c r="J449" s="60" t="n">
        <v>3.5</v>
      </c>
      <c r="K449" s="62" t="n">
        <f aca="false">IFERROR((F449-J449)*H449,"")</f>
        <v>111.78</v>
      </c>
      <c r="L449" s="63" t="n">
        <f aca="false">IFERROR(IF(F449&gt;0,LN(F449),""),"")</f>
        <v>2.12345842709661</v>
      </c>
      <c r="M449" s="63" t="n">
        <f aca="false">IFERROR(IF(H449&gt;0,LN(H449),""),"")</f>
        <v>3.13549421592915</v>
      </c>
    </row>
    <row r="450" customFormat="false" ht="15" hidden="false" customHeight="true" outlineLevel="0" collapsed="false">
      <c r="A450" s="60" t="n">
        <v>85</v>
      </c>
      <c r="B450" s="60" t="n">
        <v>1</v>
      </c>
      <c r="C450" s="60" t="s">
        <v>249</v>
      </c>
      <c r="D450" s="60" t="s">
        <v>81</v>
      </c>
      <c r="E450" s="60" t="s">
        <v>245</v>
      </c>
      <c r="F450" s="61" t="n">
        <v>8.8</v>
      </c>
      <c r="G450" s="61" t="n">
        <v>8.8</v>
      </c>
      <c r="H450" s="60" t="n">
        <v>21</v>
      </c>
      <c r="I450" s="62" t="n">
        <f aca="false">IFERROR(F450*H450,"")</f>
        <v>184.8</v>
      </c>
      <c r="J450" s="60" t="n">
        <v>3.5</v>
      </c>
      <c r="K450" s="62" t="n">
        <f aca="false">IFERROR((F450-J450)*H450,"")</f>
        <v>111.3</v>
      </c>
      <c r="L450" s="63" t="n">
        <f aca="false">IFERROR(IF(F450&gt;0,LN(F450),""),"")</f>
        <v>2.17475172148416</v>
      </c>
      <c r="M450" s="63" t="n">
        <f aca="false">IFERROR(IF(H450&gt;0,LN(H450),""),"")</f>
        <v>3.04452243772342</v>
      </c>
    </row>
    <row r="451" customFormat="false" ht="15" hidden="false" customHeight="true" outlineLevel="0" collapsed="false">
      <c r="A451" s="60" t="n">
        <v>86</v>
      </c>
      <c r="B451" s="60" t="n">
        <v>2</v>
      </c>
      <c r="C451" s="60" t="s">
        <v>249</v>
      </c>
      <c r="D451" s="60" t="s">
        <v>81</v>
      </c>
      <c r="E451" s="60" t="s">
        <v>245</v>
      </c>
      <c r="F451" s="61" t="n">
        <v>8.8</v>
      </c>
      <c r="G451" s="61" t="n">
        <v>8.8</v>
      </c>
      <c r="H451" s="60" t="n">
        <v>25</v>
      </c>
      <c r="I451" s="62" t="n">
        <f aca="false">IFERROR(F451*H451,"")</f>
        <v>220</v>
      </c>
      <c r="J451" s="60" t="n">
        <v>3.5</v>
      </c>
      <c r="K451" s="62" t="n">
        <f aca="false">IFERROR((F451-J451)*H451,"")</f>
        <v>132.5</v>
      </c>
      <c r="L451" s="63" t="n">
        <f aca="false">IFERROR(IF(F451&gt;0,LN(F451),""),"")</f>
        <v>2.17475172148416</v>
      </c>
      <c r="M451" s="63" t="n">
        <f aca="false">IFERROR(IF(H451&gt;0,LN(H451),""),"")</f>
        <v>3.2188758248682</v>
      </c>
    </row>
    <row r="452" customFormat="false" ht="15" hidden="false" customHeight="true" outlineLevel="0" collapsed="false">
      <c r="A452" s="60" t="n">
        <v>87</v>
      </c>
      <c r="B452" s="60" t="n">
        <v>3</v>
      </c>
      <c r="C452" s="60" t="s">
        <v>249</v>
      </c>
      <c r="D452" s="60" t="s">
        <v>81</v>
      </c>
      <c r="E452" s="60" t="s">
        <v>245</v>
      </c>
      <c r="F452" s="61" t="n">
        <v>8.36</v>
      </c>
      <c r="G452" s="61" t="n">
        <v>8.8</v>
      </c>
      <c r="H452" s="60" t="n">
        <v>31</v>
      </c>
      <c r="I452" s="62" t="n">
        <f aca="false">IFERROR(F452*H452,"")</f>
        <v>259.16</v>
      </c>
      <c r="J452" s="60" t="n">
        <v>3.5</v>
      </c>
      <c r="K452" s="62" t="n">
        <f aca="false">IFERROR((F452-J452)*H452,"")</f>
        <v>150.66</v>
      </c>
      <c r="L452" s="63" t="n">
        <f aca="false">IFERROR(IF(F452&gt;0,LN(F452),""),"")</f>
        <v>2.12345842709661</v>
      </c>
      <c r="M452" s="63" t="n">
        <f aca="false">IFERROR(IF(H452&gt;0,LN(H452),""),"")</f>
        <v>3.43398720448515</v>
      </c>
    </row>
    <row r="453" customFormat="false" ht="15" hidden="false" customHeight="true" outlineLevel="0" collapsed="false">
      <c r="A453" s="60" t="n">
        <v>88</v>
      </c>
      <c r="B453" s="60" t="n">
        <v>4</v>
      </c>
      <c r="C453" s="60" t="s">
        <v>249</v>
      </c>
      <c r="D453" s="60" t="s">
        <v>81</v>
      </c>
      <c r="E453" s="60" t="s">
        <v>245</v>
      </c>
      <c r="F453" s="61" t="n">
        <v>8.8</v>
      </c>
      <c r="G453" s="61" t="n">
        <v>8.8</v>
      </c>
      <c r="H453" s="60" t="n">
        <v>25</v>
      </c>
      <c r="I453" s="62" t="n">
        <f aca="false">IFERROR(F453*H453,"")</f>
        <v>220</v>
      </c>
      <c r="J453" s="60" t="n">
        <v>3.5</v>
      </c>
      <c r="K453" s="62" t="n">
        <f aca="false">IFERROR((F453-J453)*H453,"")</f>
        <v>132.5</v>
      </c>
      <c r="L453" s="63" t="n">
        <f aca="false">IFERROR(IF(F453&gt;0,LN(F453),""),"")</f>
        <v>2.17475172148416</v>
      </c>
      <c r="M453" s="63" t="n">
        <f aca="false">IFERROR(IF(H453&gt;0,LN(H453),""),"")</f>
        <v>3.2188758248682</v>
      </c>
    </row>
    <row r="454" customFormat="false" ht="15" hidden="false" customHeight="true" outlineLevel="0" collapsed="false">
      <c r="A454" s="60" t="n">
        <v>89</v>
      </c>
      <c r="B454" s="60" t="n">
        <v>5</v>
      </c>
      <c r="C454" s="60" t="s">
        <v>249</v>
      </c>
      <c r="D454" s="60" t="s">
        <v>81</v>
      </c>
      <c r="E454" s="60" t="s">
        <v>245</v>
      </c>
      <c r="F454" s="61" t="n">
        <v>7.92</v>
      </c>
      <c r="G454" s="61" t="n">
        <v>8.8</v>
      </c>
      <c r="H454" s="60" t="n">
        <v>24</v>
      </c>
      <c r="I454" s="62" t="n">
        <f aca="false">IFERROR(F454*H454,"")</f>
        <v>190.08</v>
      </c>
      <c r="J454" s="60" t="n">
        <v>3.5</v>
      </c>
      <c r="K454" s="62" t="n">
        <f aca="false">IFERROR((F454-J454)*H454,"")</f>
        <v>106.08</v>
      </c>
      <c r="L454" s="63" t="n">
        <f aca="false">IFERROR(IF(F454&gt;0,LN(F454),""),"")</f>
        <v>2.06939120582633</v>
      </c>
      <c r="M454" s="63" t="n">
        <f aca="false">IFERROR(IF(H454&gt;0,LN(H454),""),"")</f>
        <v>3.17805383034795</v>
      </c>
    </row>
    <row r="455" customFormat="false" ht="15" hidden="false" customHeight="true" outlineLevel="0" collapsed="false">
      <c r="A455" s="60" t="n">
        <v>90</v>
      </c>
      <c r="B455" s="60" t="n">
        <v>6</v>
      </c>
      <c r="C455" s="60" t="s">
        <v>249</v>
      </c>
      <c r="D455" s="60" t="s">
        <v>81</v>
      </c>
      <c r="E455" s="60" t="s">
        <v>245</v>
      </c>
      <c r="F455" s="61" t="n">
        <v>8.8</v>
      </c>
      <c r="G455" s="61" t="n">
        <v>8.8</v>
      </c>
      <c r="H455" s="60" t="n">
        <v>26</v>
      </c>
      <c r="I455" s="62" t="n">
        <f aca="false">IFERROR(F455*H455,"")</f>
        <v>228.8</v>
      </c>
      <c r="J455" s="60" t="n">
        <v>3.5</v>
      </c>
      <c r="K455" s="62" t="n">
        <f aca="false">IFERROR((F455-J455)*H455,"")</f>
        <v>137.8</v>
      </c>
      <c r="L455" s="63" t="n">
        <f aca="false">IFERROR(IF(F455&gt;0,LN(F455),""),"")</f>
        <v>2.17475172148416</v>
      </c>
      <c r="M455" s="63" t="n">
        <f aca="false">IFERROR(IF(H455&gt;0,LN(H455),""),"")</f>
        <v>3.25809653802148</v>
      </c>
    </row>
    <row r="456" customFormat="false" ht="15" hidden="false" customHeight="true" outlineLevel="0" collapsed="false">
      <c r="A456" s="60" t="n">
        <v>1</v>
      </c>
      <c r="B456" s="60" t="n">
        <v>1</v>
      </c>
      <c r="C456" s="60" t="s">
        <v>250</v>
      </c>
      <c r="D456" s="60" t="s">
        <v>84</v>
      </c>
      <c r="E456" s="60" t="s">
        <v>245</v>
      </c>
      <c r="F456" s="61" t="n">
        <v>6.38</v>
      </c>
      <c r="G456" s="61" t="n">
        <v>5.8</v>
      </c>
      <c r="H456" s="60" t="n">
        <v>15</v>
      </c>
      <c r="I456" s="62" t="n">
        <f aca="false">IFERROR(F456*H456,"")</f>
        <v>95.7</v>
      </c>
      <c r="J456" s="60" t="n">
        <v>2.1</v>
      </c>
      <c r="K456" s="62" t="n">
        <f aca="false">IFERROR((F456-J456)*H456,"")</f>
        <v>64.2</v>
      </c>
      <c r="L456" s="63" t="n">
        <f aca="false">IFERROR(IF(F456&gt;0,LN(F456),""),"")</f>
        <v>1.8531680973567</v>
      </c>
      <c r="M456" s="63" t="n">
        <f aca="false">IFERROR(IF(H456&gt;0,LN(H456),""),"")</f>
        <v>2.70805020110221</v>
      </c>
    </row>
    <row r="457" customFormat="false" ht="15" hidden="false" customHeight="true" outlineLevel="0" collapsed="false">
      <c r="A457" s="60" t="n">
        <v>2</v>
      </c>
      <c r="B457" s="60" t="n">
        <v>2</v>
      </c>
      <c r="C457" s="60" t="s">
        <v>250</v>
      </c>
      <c r="D457" s="60" t="s">
        <v>84</v>
      </c>
      <c r="E457" s="60" t="s">
        <v>245</v>
      </c>
      <c r="F457" s="61" t="n">
        <v>5.8</v>
      </c>
      <c r="G457" s="61" t="n">
        <v>5.8</v>
      </c>
      <c r="H457" s="60" t="n">
        <v>16</v>
      </c>
      <c r="I457" s="62" t="n">
        <f aca="false">IFERROR(F457*H457,"")</f>
        <v>92.8</v>
      </c>
      <c r="J457" s="60" t="n">
        <v>2.1</v>
      </c>
      <c r="K457" s="62" t="n">
        <f aca="false">IFERROR((F457-J457)*H457,"")</f>
        <v>59.2</v>
      </c>
      <c r="L457" s="63" t="n">
        <f aca="false">IFERROR(IF(F457&gt;0,LN(F457),""),"")</f>
        <v>1.75785791755237</v>
      </c>
      <c r="M457" s="63" t="n">
        <f aca="false">IFERROR(IF(H457&gt;0,LN(H457),""),"")</f>
        <v>2.77258872223978</v>
      </c>
    </row>
    <row r="458" customFormat="false" ht="15" hidden="false" customHeight="true" outlineLevel="0" collapsed="false">
      <c r="A458" s="60" t="n">
        <v>3</v>
      </c>
      <c r="B458" s="60" t="n">
        <v>3</v>
      </c>
      <c r="C458" s="60" t="s">
        <v>250</v>
      </c>
      <c r="D458" s="60" t="s">
        <v>84</v>
      </c>
      <c r="E458" s="60" t="s">
        <v>245</v>
      </c>
      <c r="F458" s="61" t="n">
        <v>6.38</v>
      </c>
      <c r="G458" s="61" t="n">
        <v>5.8</v>
      </c>
      <c r="H458" s="60" t="n">
        <v>11</v>
      </c>
      <c r="I458" s="62" t="n">
        <f aca="false">IFERROR(F458*H458,"")</f>
        <v>70.18</v>
      </c>
      <c r="J458" s="60" t="n">
        <v>2.1</v>
      </c>
      <c r="K458" s="62" t="n">
        <f aca="false">IFERROR((F458-J458)*H458,"")</f>
        <v>47.08</v>
      </c>
      <c r="L458" s="63" t="n">
        <f aca="false">IFERROR(IF(F458&gt;0,LN(F458),""),"")</f>
        <v>1.8531680973567</v>
      </c>
      <c r="M458" s="63" t="n">
        <f aca="false">IFERROR(IF(H458&gt;0,LN(H458),""),"")</f>
        <v>2.39789527279837</v>
      </c>
    </row>
    <row r="459" customFormat="false" ht="15" hidden="false" customHeight="true" outlineLevel="0" collapsed="false">
      <c r="A459" s="60" t="n">
        <v>4</v>
      </c>
      <c r="B459" s="60" t="n">
        <v>4</v>
      </c>
      <c r="C459" s="60" t="s">
        <v>250</v>
      </c>
      <c r="D459" s="60" t="s">
        <v>84</v>
      </c>
      <c r="E459" s="60" t="s">
        <v>245</v>
      </c>
      <c r="F459" s="61" t="n">
        <v>5.8</v>
      </c>
      <c r="G459" s="61" t="n">
        <v>5.8</v>
      </c>
      <c r="H459" s="60" t="n">
        <v>15</v>
      </c>
      <c r="I459" s="62" t="n">
        <f aca="false">IFERROR(F459*H459,"")</f>
        <v>87</v>
      </c>
      <c r="J459" s="60" t="n">
        <v>2.1</v>
      </c>
      <c r="K459" s="62" t="n">
        <f aca="false">IFERROR((F459-J459)*H459,"")</f>
        <v>55.5</v>
      </c>
      <c r="L459" s="63" t="n">
        <f aca="false">IFERROR(IF(F459&gt;0,LN(F459),""),"")</f>
        <v>1.75785791755237</v>
      </c>
      <c r="M459" s="63" t="n">
        <f aca="false">IFERROR(IF(H459&gt;0,LN(H459),""),"")</f>
        <v>2.70805020110221</v>
      </c>
    </row>
    <row r="460" customFormat="false" ht="15" hidden="false" customHeight="true" outlineLevel="0" collapsed="false">
      <c r="A460" s="60" t="n">
        <v>5</v>
      </c>
      <c r="B460" s="60" t="n">
        <v>5</v>
      </c>
      <c r="C460" s="60" t="s">
        <v>250</v>
      </c>
      <c r="D460" s="60" t="s">
        <v>84</v>
      </c>
      <c r="E460" s="60" t="s">
        <v>245</v>
      </c>
      <c r="F460" s="61" t="n">
        <v>6.09</v>
      </c>
      <c r="G460" s="61" t="n">
        <v>5.8</v>
      </c>
      <c r="H460" s="60" t="n">
        <v>15</v>
      </c>
      <c r="I460" s="62" t="n">
        <f aca="false">IFERROR(F460*H460,"")</f>
        <v>91.35</v>
      </c>
      <c r="J460" s="60" t="n">
        <v>2.1</v>
      </c>
      <c r="K460" s="62" t="n">
        <f aca="false">IFERROR((F460-J460)*H460,"")</f>
        <v>59.85</v>
      </c>
      <c r="L460" s="63" t="n">
        <f aca="false">IFERROR(IF(F460&gt;0,LN(F460),""),"")</f>
        <v>1.80664808172181</v>
      </c>
      <c r="M460" s="63" t="n">
        <f aca="false">IFERROR(IF(H460&gt;0,LN(H460),""),"")</f>
        <v>2.70805020110221</v>
      </c>
    </row>
    <row r="461" customFormat="false" ht="15" hidden="false" customHeight="true" outlineLevel="0" collapsed="false">
      <c r="A461" s="60" t="n">
        <v>6</v>
      </c>
      <c r="B461" s="60" t="n">
        <v>6</v>
      </c>
      <c r="C461" s="60" t="s">
        <v>250</v>
      </c>
      <c r="D461" s="60" t="s">
        <v>84</v>
      </c>
      <c r="E461" s="60" t="s">
        <v>245</v>
      </c>
      <c r="F461" s="61" t="n">
        <v>5.8</v>
      </c>
      <c r="G461" s="61" t="n">
        <v>5.8</v>
      </c>
      <c r="H461" s="60" t="n">
        <v>15</v>
      </c>
      <c r="I461" s="62" t="n">
        <f aca="false">IFERROR(F461*H461,"")</f>
        <v>87</v>
      </c>
      <c r="J461" s="60" t="n">
        <v>2.1</v>
      </c>
      <c r="K461" s="62" t="n">
        <f aca="false">IFERROR((F461-J461)*H461,"")</f>
        <v>55.5</v>
      </c>
      <c r="L461" s="63" t="n">
        <f aca="false">IFERROR(IF(F461&gt;0,LN(F461),""),"")</f>
        <v>1.75785791755237</v>
      </c>
      <c r="M461" s="63" t="n">
        <f aca="false">IFERROR(IF(H461&gt;0,LN(H461),""),"")</f>
        <v>2.70805020110221</v>
      </c>
    </row>
    <row r="462" customFormat="false" ht="15" hidden="false" customHeight="true" outlineLevel="0" collapsed="false">
      <c r="A462" s="60" t="n">
        <v>7</v>
      </c>
      <c r="B462" s="60" t="n">
        <v>7</v>
      </c>
      <c r="C462" s="60" t="s">
        <v>250</v>
      </c>
      <c r="D462" s="60" t="s">
        <v>84</v>
      </c>
      <c r="E462" s="60" t="s">
        <v>245</v>
      </c>
      <c r="F462" s="61" t="n">
        <v>5.8</v>
      </c>
      <c r="G462" s="61" t="n">
        <v>5.8</v>
      </c>
      <c r="H462" s="60" t="n">
        <v>18</v>
      </c>
      <c r="I462" s="62" t="n">
        <f aca="false">IFERROR(F462*H462,"")</f>
        <v>104.4</v>
      </c>
      <c r="J462" s="60" t="n">
        <v>2.1</v>
      </c>
      <c r="K462" s="62" t="n">
        <f aca="false">IFERROR((F462-J462)*H462,"")</f>
        <v>66.6</v>
      </c>
      <c r="L462" s="63" t="n">
        <f aca="false">IFERROR(IF(F462&gt;0,LN(F462),""),"")</f>
        <v>1.75785791755237</v>
      </c>
      <c r="M462" s="63" t="n">
        <f aca="false">IFERROR(IF(H462&gt;0,LN(H462),""),"")</f>
        <v>2.89037175789616</v>
      </c>
    </row>
    <row r="463" customFormat="false" ht="15" hidden="false" customHeight="true" outlineLevel="0" collapsed="false">
      <c r="A463" s="60" t="n">
        <v>8</v>
      </c>
      <c r="B463" s="60" t="n">
        <v>1</v>
      </c>
      <c r="C463" s="60" t="s">
        <v>250</v>
      </c>
      <c r="D463" s="60" t="s">
        <v>84</v>
      </c>
      <c r="E463" s="60" t="s">
        <v>245</v>
      </c>
      <c r="F463" s="61" t="n">
        <v>6.09</v>
      </c>
      <c r="G463" s="61" t="n">
        <v>5.8</v>
      </c>
      <c r="H463" s="60" t="n">
        <v>17</v>
      </c>
      <c r="I463" s="62" t="n">
        <f aca="false">IFERROR(F463*H463,"")</f>
        <v>103.53</v>
      </c>
      <c r="J463" s="60" t="n">
        <v>2.1</v>
      </c>
      <c r="K463" s="62" t="n">
        <f aca="false">IFERROR((F463-J463)*H463,"")</f>
        <v>67.83</v>
      </c>
      <c r="L463" s="63" t="n">
        <f aca="false">IFERROR(IF(F463&gt;0,LN(F463),""),"")</f>
        <v>1.80664808172181</v>
      </c>
      <c r="M463" s="63" t="n">
        <f aca="false">IFERROR(IF(H463&gt;0,LN(H463),""),"")</f>
        <v>2.83321334405622</v>
      </c>
    </row>
    <row r="464" customFormat="false" ht="15" hidden="false" customHeight="true" outlineLevel="0" collapsed="false">
      <c r="A464" s="60" t="n">
        <v>9</v>
      </c>
      <c r="B464" s="60" t="n">
        <v>2</v>
      </c>
      <c r="C464" s="60" t="s">
        <v>250</v>
      </c>
      <c r="D464" s="60" t="s">
        <v>84</v>
      </c>
      <c r="E464" s="60" t="s">
        <v>245</v>
      </c>
      <c r="F464" s="61" t="n">
        <v>5.22</v>
      </c>
      <c r="G464" s="61" t="n">
        <v>5.8</v>
      </c>
      <c r="H464" s="60" t="n">
        <v>15</v>
      </c>
      <c r="I464" s="62" t="n">
        <f aca="false">IFERROR(F464*H464,"")</f>
        <v>78.3</v>
      </c>
      <c r="J464" s="60" t="n">
        <v>2.1</v>
      </c>
      <c r="K464" s="62" t="n">
        <f aca="false">IFERROR((F464-J464)*H464,"")</f>
        <v>46.8</v>
      </c>
      <c r="L464" s="63" t="n">
        <f aca="false">IFERROR(IF(F464&gt;0,LN(F464),""),"")</f>
        <v>1.65249740189455</v>
      </c>
      <c r="M464" s="63" t="n">
        <f aca="false">IFERROR(IF(H464&gt;0,LN(H464),""),"")</f>
        <v>2.70805020110221</v>
      </c>
    </row>
    <row r="465" customFormat="false" ht="15" hidden="false" customHeight="true" outlineLevel="0" collapsed="false">
      <c r="A465" s="60" t="n">
        <v>10</v>
      </c>
      <c r="B465" s="60" t="n">
        <v>3</v>
      </c>
      <c r="C465" s="60" t="s">
        <v>250</v>
      </c>
      <c r="D465" s="60" t="s">
        <v>84</v>
      </c>
      <c r="E465" s="60" t="s">
        <v>245</v>
      </c>
      <c r="F465" s="61" t="n">
        <v>5.8</v>
      </c>
      <c r="G465" s="61" t="n">
        <v>5.8</v>
      </c>
      <c r="H465" s="60" t="n">
        <v>13</v>
      </c>
      <c r="I465" s="62" t="n">
        <f aca="false">IFERROR(F465*H465,"")</f>
        <v>75.4</v>
      </c>
      <c r="J465" s="60" t="n">
        <v>2.1</v>
      </c>
      <c r="K465" s="62" t="n">
        <f aca="false">IFERROR((F465-J465)*H465,"")</f>
        <v>48.1</v>
      </c>
      <c r="L465" s="63" t="n">
        <f aca="false">IFERROR(IF(F465&gt;0,LN(F465),""),"")</f>
        <v>1.75785791755237</v>
      </c>
      <c r="M465" s="63" t="n">
        <f aca="false">IFERROR(IF(H465&gt;0,LN(H465),""),"")</f>
        <v>2.56494935746154</v>
      </c>
    </row>
    <row r="466" customFormat="false" ht="15" hidden="false" customHeight="true" outlineLevel="0" collapsed="false">
      <c r="A466" s="60" t="n">
        <v>11</v>
      </c>
      <c r="B466" s="60" t="n">
        <v>4</v>
      </c>
      <c r="C466" s="60" t="s">
        <v>250</v>
      </c>
      <c r="D466" s="60" t="s">
        <v>84</v>
      </c>
      <c r="E466" s="60" t="s">
        <v>245</v>
      </c>
      <c r="F466" s="61" t="n">
        <v>5.22</v>
      </c>
      <c r="G466" s="61" t="n">
        <v>5.8</v>
      </c>
      <c r="H466" s="60" t="n">
        <v>17</v>
      </c>
      <c r="I466" s="62" t="n">
        <f aca="false">IFERROR(F466*H466,"")</f>
        <v>88.74</v>
      </c>
      <c r="J466" s="60" t="n">
        <v>2.1</v>
      </c>
      <c r="K466" s="62" t="n">
        <f aca="false">IFERROR((F466-J466)*H466,"")</f>
        <v>53.04</v>
      </c>
      <c r="L466" s="63" t="n">
        <f aca="false">IFERROR(IF(F466&gt;0,LN(F466),""),"")</f>
        <v>1.65249740189455</v>
      </c>
      <c r="M466" s="63" t="n">
        <f aca="false">IFERROR(IF(H466&gt;0,LN(H466),""),"")</f>
        <v>2.83321334405622</v>
      </c>
    </row>
    <row r="467" customFormat="false" ht="15" hidden="false" customHeight="true" outlineLevel="0" collapsed="false">
      <c r="A467" s="60" t="n">
        <v>12</v>
      </c>
      <c r="B467" s="60" t="n">
        <v>5</v>
      </c>
      <c r="C467" s="60" t="s">
        <v>250</v>
      </c>
      <c r="D467" s="60" t="s">
        <v>84</v>
      </c>
      <c r="E467" s="60" t="s">
        <v>245</v>
      </c>
      <c r="F467" s="61" t="n">
        <v>5.8</v>
      </c>
      <c r="G467" s="61" t="n">
        <v>5.8</v>
      </c>
      <c r="H467" s="60" t="n">
        <v>17</v>
      </c>
      <c r="I467" s="62" t="n">
        <f aca="false">IFERROR(F467*H467,"")</f>
        <v>98.6</v>
      </c>
      <c r="J467" s="60" t="n">
        <v>2.1</v>
      </c>
      <c r="K467" s="62" t="n">
        <f aca="false">IFERROR((F467-J467)*H467,"")</f>
        <v>62.9</v>
      </c>
      <c r="L467" s="63" t="n">
        <f aca="false">IFERROR(IF(F467&gt;0,LN(F467),""),"")</f>
        <v>1.75785791755237</v>
      </c>
      <c r="M467" s="63" t="n">
        <f aca="false">IFERROR(IF(H467&gt;0,LN(H467),""),"")</f>
        <v>2.83321334405622</v>
      </c>
    </row>
    <row r="468" customFormat="false" ht="15" hidden="false" customHeight="true" outlineLevel="0" collapsed="false">
      <c r="A468" s="60" t="n">
        <v>13</v>
      </c>
      <c r="B468" s="60" t="n">
        <v>6</v>
      </c>
      <c r="C468" s="60" t="s">
        <v>250</v>
      </c>
      <c r="D468" s="60" t="s">
        <v>84</v>
      </c>
      <c r="E468" s="60" t="s">
        <v>245</v>
      </c>
      <c r="F468" s="61" t="n">
        <v>6.38</v>
      </c>
      <c r="G468" s="61" t="n">
        <v>5.8</v>
      </c>
      <c r="H468" s="60" t="n">
        <v>13</v>
      </c>
      <c r="I468" s="62" t="n">
        <f aca="false">IFERROR(F468*H468,"")</f>
        <v>82.94</v>
      </c>
      <c r="J468" s="60" t="n">
        <v>2.1</v>
      </c>
      <c r="K468" s="62" t="n">
        <f aca="false">IFERROR((F468-J468)*H468,"")</f>
        <v>55.64</v>
      </c>
      <c r="L468" s="63" t="n">
        <f aca="false">IFERROR(IF(F468&gt;0,LN(F468),""),"")</f>
        <v>1.8531680973567</v>
      </c>
      <c r="M468" s="63" t="n">
        <f aca="false">IFERROR(IF(H468&gt;0,LN(H468),""),"")</f>
        <v>2.56494935746154</v>
      </c>
    </row>
    <row r="469" customFormat="false" ht="15" hidden="false" customHeight="true" outlineLevel="0" collapsed="false">
      <c r="A469" s="60" t="n">
        <v>14</v>
      </c>
      <c r="B469" s="60" t="n">
        <v>7</v>
      </c>
      <c r="C469" s="60" t="s">
        <v>250</v>
      </c>
      <c r="D469" s="60" t="s">
        <v>84</v>
      </c>
      <c r="E469" s="60" t="s">
        <v>245</v>
      </c>
      <c r="F469" s="61" t="n">
        <v>5.8</v>
      </c>
      <c r="G469" s="61" t="n">
        <v>5.8</v>
      </c>
      <c r="H469" s="60" t="n">
        <v>15</v>
      </c>
      <c r="I469" s="62" t="n">
        <f aca="false">IFERROR(F469*H469,"")</f>
        <v>87</v>
      </c>
      <c r="J469" s="60" t="n">
        <v>2.1</v>
      </c>
      <c r="K469" s="62" t="n">
        <f aca="false">IFERROR((F469-J469)*H469,"")</f>
        <v>55.5</v>
      </c>
      <c r="L469" s="63" t="n">
        <f aca="false">IFERROR(IF(F469&gt;0,LN(F469),""),"")</f>
        <v>1.75785791755237</v>
      </c>
      <c r="M469" s="63" t="n">
        <f aca="false">IFERROR(IF(H469&gt;0,LN(H469),""),"")</f>
        <v>2.70805020110221</v>
      </c>
    </row>
    <row r="470" customFormat="false" ht="15" hidden="false" customHeight="true" outlineLevel="0" collapsed="false">
      <c r="A470" s="60" t="n">
        <v>15</v>
      </c>
      <c r="B470" s="60" t="n">
        <v>1</v>
      </c>
      <c r="C470" s="60" t="s">
        <v>250</v>
      </c>
      <c r="D470" s="60" t="s">
        <v>84</v>
      </c>
      <c r="E470" s="60" t="s">
        <v>245</v>
      </c>
      <c r="F470" s="61" t="n">
        <v>6.09</v>
      </c>
      <c r="G470" s="61" t="n">
        <v>5.8</v>
      </c>
      <c r="H470" s="60" t="n">
        <v>16</v>
      </c>
      <c r="I470" s="62" t="n">
        <f aca="false">IFERROR(F470*H470,"")</f>
        <v>97.44</v>
      </c>
      <c r="J470" s="60" t="n">
        <v>2.1</v>
      </c>
      <c r="K470" s="62" t="n">
        <f aca="false">IFERROR((F470-J470)*H470,"")</f>
        <v>63.84</v>
      </c>
      <c r="L470" s="63" t="n">
        <f aca="false">IFERROR(IF(F470&gt;0,LN(F470),""),"")</f>
        <v>1.80664808172181</v>
      </c>
      <c r="M470" s="63" t="n">
        <f aca="false">IFERROR(IF(H470&gt;0,LN(H470),""),"")</f>
        <v>2.77258872223978</v>
      </c>
    </row>
    <row r="471" customFormat="false" ht="15" hidden="false" customHeight="true" outlineLevel="0" collapsed="false">
      <c r="A471" s="60" t="n">
        <v>16</v>
      </c>
      <c r="B471" s="60" t="n">
        <v>2</v>
      </c>
      <c r="C471" s="60" t="s">
        <v>250</v>
      </c>
      <c r="D471" s="60" t="s">
        <v>84</v>
      </c>
      <c r="E471" s="60" t="s">
        <v>245</v>
      </c>
      <c r="F471" s="61" t="n">
        <v>6.38</v>
      </c>
      <c r="G471" s="61" t="n">
        <v>5.8</v>
      </c>
      <c r="H471" s="60" t="n">
        <v>15</v>
      </c>
      <c r="I471" s="62" t="n">
        <f aca="false">IFERROR(F471*H471,"")</f>
        <v>95.7</v>
      </c>
      <c r="J471" s="60" t="n">
        <v>2.1</v>
      </c>
      <c r="K471" s="62" t="n">
        <f aca="false">IFERROR((F471-J471)*H471,"")</f>
        <v>64.2</v>
      </c>
      <c r="L471" s="63" t="n">
        <f aca="false">IFERROR(IF(F471&gt;0,LN(F471),""),"")</f>
        <v>1.8531680973567</v>
      </c>
      <c r="M471" s="63" t="n">
        <f aca="false">IFERROR(IF(H471&gt;0,LN(H471),""),"")</f>
        <v>2.70805020110221</v>
      </c>
    </row>
    <row r="472" customFormat="false" ht="15" hidden="false" customHeight="true" outlineLevel="0" collapsed="false">
      <c r="A472" s="60" t="n">
        <v>17</v>
      </c>
      <c r="B472" s="60" t="n">
        <v>3</v>
      </c>
      <c r="C472" s="60" t="s">
        <v>250</v>
      </c>
      <c r="D472" s="60" t="s">
        <v>84</v>
      </c>
      <c r="E472" s="60" t="s">
        <v>245</v>
      </c>
      <c r="F472" s="61" t="n">
        <v>5.8</v>
      </c>
      <c r="G472" s="61" t="n">
        <v>5.8</v>
      </c>
      <c r="H472" s="60" t="n">
        <v>20</v>
      </c>
      <c r="I472" s="62" t="n">
        <f aca="false">IFERROR(F472*H472,"")</f>
        <v>116</v>
      </c>
      <c r="J472" s="60" t="n">
        <v>2.1</v>
      </c>
      <c r="K472" s="62" t="n">
        <f aca="false">IFERROR((F472-J472)*H472,"")</f>
        <v>74</v>
      </c>
      <c r="L472" s="63" t="n">
        <f aca="false">IFERROR(IF(F472&gt;0,LN(F472),""),"")</f>
        <v>1.75785791755237</v>
      </c>
      <c r="M472" s="63" t="n">
        <f aca="false">IFERROR(IF(H472&gt;0,LN(H472),""),"")</f>
        <v>2.99573227355399</v>
      </c>
    </row>
    <row r="473" customFormat="false" ht="15" hidden="false" customHeight="true" outlineLevel="0" collapsed="false">
      <c r="A473" s="60" t="n">
        <v>18</v>
      </c>
      <c r="B473" s="60" t="n">
        <v>4</v>
      </c>
      <c r="C473" s="60" t="s">
        <v>250</v>
      </c>
      <c r="D473" s="60" t="s">
        <v>84</v>
      </c>
      <c r="E473" s="60" t="s">
        <v>245</v>
      </c>
      <c r="F473" s="61" t="n">
        <v>6.09</v>
      </c>
      <c r="G473" s="61" t="n">
        <v>5.8</v>
      </c>
      <c r="H473" s="60" t="n">
        <v>19</v>
      </c>
      <c r="I473" s="62" t="n">
        <f aca="false">IFERROR(F473*H473,"")</f>
        <v>115.71</v>
      </c>
      <c r="J473" s="60" t="n">
        <v>2.1</v>
      </c>
      <c r="K473" s="62" t="n">
        <f aca="false">IFERROR((F473-J473)*H473,"")</f>
        <v>75.81</v>
      </c>
      <c r="L473" s="63" t="n">
        <f aca="false">IFERROR(IF(F473&gt;0,LN(F473),""),"")</f>
        <v>1.80664808172181</v>
      </c>
      <c r="M473" s="63" t="n">
        <f aca="false">IFERROR(IF(H473&gt;0,LN(H473),""),"")</f>
        <v>2.94443897916644</v>
      </c>
    </row>
    <row r="474" customFormat="false" ht="15" hidden="false" customHeight="true" outlineLevel="0" collapsed="false">
      <c r="A474" s="60" t="n">
        <v>19</v>
      </c>
      <c r="B474" s="60" t="n">
        <v>5</v>
      </c>
      <c r="C474" s="60" t="s">
        <v>250</v>
      </c>
      <c r="D474" s="60" t="s">
        <v>84</v>
      </c>
      <c r="E474" s="60" t="s">
        <v>245</v>
      </c>
      <c r="F474" s="61" t="n">
        <v>5.51</v>
      </c>
      <c r="G474" s="61" t="n">
        <v>5.8</v>
      </c>
      <c r="H474" s="60" t="n">
        <v>15</v>
      </c>
      <c r="I474" s="62" t="n">
        <f aca="false">IFERROR(F474*H474,"")</f>
        <v>82.65</v>
      </c>
      <c r="J474" s="60" t="n">
        <v>2.1</v>
      </c>
      <c r="K474" s="62" t="n">
        <f aca="false">IFERROR((F474-J474)*H474,"")</f>
        <v>51.15</v>
      </c>
      <c r="L474" s="63" t="n">
        <f aca="false">IFERROR(IF(F474&gt;0,LN(F474),""),"")</f>
        <v>1.70656462316482</v>
      </c>
      <c r="M474" s="63" t="n">
        <f aca="false">IFERROR(IF(H474&gt;0,LN(H474),""),"")</f>
        <v>2.70805020110221</v>
      </c>
    </row>
    <row r="475" customFormat="false" ht="15" hidden="false" customHeight="true" outlineLevel="0" collapsed="false">
      <c r="A475" s="60" t="n">
        <v>20</v>
      </c>
      <c r="B475" s="60" t="n">
        <v>6</v>
      </c>
      <c r="C475" s="60" t="s">
        <v>250</v>
      </c>
      <c r="D475" s="60" t="s">
        <v>84</v>
      </c>
      <c r="E475" s="60" t="s">
        <v>245</v>
      </c>
      <c r="F475" s="61" t="n">
        <v>5.22</v>
      </c>
      <c r="G475" s="61" t="n">
        <v>5.8</v>
      </c>
      <c r="H475" s="60" t="n">
        <v>15</v>
      </c>
      <c r="I475" s="62" t="n">
        <f aca="false">IFERROR(F475*H475,"")</f>
        <v>78.3</v>
      </c>
      <c r="J475" s="60" t="n">
        <v>2.1</v>
      </c>
      <c r="K475" s="62" t="n">
        <f aca="false">IFERROR((F475-J475)*H475,"")</f>
        <v>46.8</v>
      </c>
      <c r="L475" s="63" t="n">
        <f aca="false">IFERROR(IF(F475&gt;0,LN(F475),""),"")</f>
        <v>1.65249740189455</v>
      </c>
      <c r="M475" s="63" t="n">
        <f aca="false">IFERROR(IF(H475&gt;0,LN(H475),""),"")</f>
        <v>2.70805020110221</v>
      </c>
    </row>
    <row r="476" customFormat="false" ht="15" hidden="false" customHeight="true" outlineLevel="0" collapsed="false">
      <c r="A476" s="60" t="n">
        <v>21</v>
      </c>
      <c r="B476" s="60" t="n">
        <v>7</v>
      </c>
      <c r="C476" s="60" t="s">
        <v>250</v>
      </c>
      <c r="D476" s="60" t="s">
        <v>84</v>
      </c>
      <c r="E476" s="60" t="s">
        <v>245</v>
      </c>
      <c r="F476" s="61" t="n">
        <v>6.09</v>
      </c>
      <c r="G476" s="61" t="n">
        <v>5.8</v>
      </c>
      <c r="H476" s="60" t="n">
        <v>13</v>
      </c>
      <c r="I476" s="62" t="n">
        <f aca="false">IFERROR(F476*H476,"")</f>
        <v>79.17</v>
      </c>
      <c r="J476" s="60" t="n">
        <v>2.1</v>
      </c>
      <c r="K476" s="62" t="n">
        <f aca="false">IFERROR((F476-J476)*H476,"")</f>
        <v>51.87</v>
      </c>
      <c r="L476" s="63" t="n">
        <f aca="false">IFERROR(IF(F476&gt;0,LN(F476),""),"")</f>
        <v>1.80664808172181</v>
      </c>
      <c r="M476" s="63" t="n">
        <f aca="false">IFERROR(IF(H476&gt;0,LN(H476),""),"")</f>
        <v>2.56494935746154</v>
      </c>
    </row>
    <row r="477" customFormat="false" ht="15" hidden="false" customHeight="true" outlineLevel="0" collapsed="false">
      <c r="A477" s="60" t="n">
        <v>22</v>
      </c>
      <c r="B477" s="60" t="n">
        <v>1</v>
      </c>
      <c r="C477" s="60" t="s">
        <v>250</v>
      </c>
      <c r="D477" s="60" t="s">
        <v>84</v>
      </c>
      <c r="E477" s="60" t="s">
        <v>245</v>
      </c>
      <c r="F477" s="61" t="n">
        <v>5.22</v>
      </c>
      <c r="G477" s="61" t="n">
        <v>5.8</v>
      </c>
      <c r="H477" s="60" t="n">
        <v>17</v>
      </c>
      <c r="I477" s="62" t="n">
        <f aca="false">IFERROR(F477*H477,"")</f>
        <v>88.74</v>
      </c>
      <c r="J477" s="60" t="n">
        <v>2.1</v>
      </c>
      <c r="K477" s="62" t="n">
        <f aca="false">IFERROR((F477-J477)*H477,"")</f>
        <v>53.04</v>
      </c>
      <c r="L477" s="63" t="n">
        <f aca="false">IFERROR(IF(F477&gt;0,LN(F477),""),"")</f>
        <v>1.65249740189455</v>
      </c>
      <c r="M477" s="63" t="n">
        <f aca="false">IFERROR(IF(H477&gt;0,LN(H477),""),"")</f>
        <v>2.83321334405622</v>
      </c>
    </row>
    <row r="478" customFormat="false" ht="15" hidden="false" customHeight="true" outlineLevel="0" collapsed="false">
      <c r="A478" s="60" t="n">
        <v>23</v>
      </c>
      <c r="B478" s="60" t="n">
        <v>2</v>
      </c>
      <c r="C478" s="60" t="s">
        <v>250</v>
      </c>
      <c r="D478" s="60" t="s">
        <v>84</v>
      </c>
      <c r="E478" s="60" t="s">
        <v>245</v>
      </c>
      <c r="F478" s="61" t="n">
        <v>5.8</v>
      </c>
      <c r="G478" s="61" t="n">
        <v>5.8</v>
      </c>
      <c r="H478" s="60" t="n">
        <v>18</v>
      </c>
      <c r="I478" s="62" t="n">
        <f aca="false">IFERROR(F478*H478,"")</f>
        <v>104.4</v>
      </c>
      <c r="J478" s="60" t="n">
        <v>2.1</v>
      </c>
      <c r="K478" s="62" t="n">
        <f aca="false">IFERROR((F478-J478)*H478,"")</f>
        <v>66.6</v>
      </c>
      <c r="L478" s="63" t="n">
        <f aca="false">IFERROR(IF(F478&gt;0,LN(F478),""),"")</f>
        <v>1.75785791755237</v>
      </c>
      <c r="M478" s="63" t="n">
        <f aca="false">IFERROR(IF(H478&gt;0,LN(H478),""),"")</f>
        <v>2.89037175789616</v>
      </c>
    </row>
    <row r="479" customFormat="false" ht="15" hidden="false" customHeight="true" outlineLevel="0" collapsed="false">
      <c r="A479" s="60" t="n">
        <v>24</v>
      </c>
      <c r="B479" s="60" t="n">
        <v>3</v>
      </c>
      <c r="C479" s="60" t="s">
        <v>250</v>
      </c>
      <c r="D479" s="60" t="s">
        <v>84</v>
      </c>
      <c r="E479" s="60" t="s">
        <v>245</v>
      </c>
      <c r="F479" s="61" t="n">
        <v>5.51</v>
      </c>
      <c r="G479" s="61" t="n">
        <v>5.8</v>
      </c>
      <c r="H479" s="60" t="n">
        <v>15</v>
      </c>
      <c r="I479" s="62" t="n">
        <f aca="false">IFERROR(F479*H479,"")</f>
        <v>82.65</v>
      </c>
      <c r="J479" s="60" t="n">
        <v>2.1</v>
      </c>
      <c r="K479" s="62" t="n">
        <f aca="false">IFERROR((F479-J479)*H479,"")</f>
        <v>51.15</v>
      </c>
      <c r="L479" s="63" t="n">
        <f aca="false">IFERROR(IF(F479&gt;0,LN(F479),""),"")</f>
        <v>1.70656462316482</v>
      </c>
      <c r="M479" s="63" t="n">
        <f aca="false">IFERROR(IF(H479&gt;0,LN(H479),""),"")</f>
        <v>2.70805020110221</v>
      </c>
    </row>
    <row r="480" customFormat="false" ht="15" hidden="false" customHeight="true" outlineLevel="0" collapsed="false">
      <c r="A480" s="60" t="n">
        <v>25</v>
      </c>
      <c r="B480" s="60" t="n">
        <v>4</v>
      </c>
      <c r="C480" s="60" t="s">
        <v>250</v>
      </c>
      <c r="D480" s="60" t="s">
        <v>84</v>
      </c>
      <c r="E480" s="60" t="s">
        <v>245</v>
      </c>
      <c r="F480" s="61" t="n">
        <v>5.8</v>
      </c>
      <c r="G480" s="61" t="n">
        <v>5.8</v>
      </c>
      <c r="H480" s="60" t="n">
        <v>17</v>
      </c>
      <c r="I480" s="62" t="n">
        <f aca="false">IFERROR(F480*H480,"")</f>
        <v>98.6</v>
      </c>
      <c r="J480" s="60" t="n">
        <v>2.1</v>
      </c>
      <c r="K480" s="62" t="n">
        <f aca="false">IFERROR((F480-J480)*H480,"")</f>
        <v>62.9</v>
      </c>
      <c r="L480" s="63" t="n">
        <f aca="false">IFERROR(IF(F480&gt;0,LN(F480),""),"")</f>
        <v>1.75785791755237</v>
      </c>
      <c r="M480" s="63" t="n">
        <f aca="false">IFERROR(IF(H480&gt;0,LN(H480),""),"")</f>
        <v>2.83321334405622</v>
      </c>
    </row>
    <row r="481" customFormat="false" ht="15" hidden="false" customHeight="true" outlineLevel="0" collapsed="false">
      <c r="A481" s="60" t="n">
        <v>26</v>
      </c>
      <c r="B481" s="60" t="n">
        <v>5</v>
      </c>
      <c r="C481" s="60" t="s">
        <v>250</v>
      </c>
      <c r="D481" s="60" t="s">
        <v>84</v>
      </c>
      <c r="E481" s="60" t="s">
        <v>245</v>
      </c>
      <c r="F481" s="61" t="n">
        <v>6.38</v>
      </c>
      <c r="G481" s="61" t="n">
        <v>5.8</v>
      </c>
      <c r="H481" s="60" t="n">
        <v>13</v>
      </c>
      <c r="I481" s="62" t="n">
        <f aca="false">IFERROR(F481*H481,"")</f>
        <v>82.94</v>
      </c>
      <c r="J481" s="60" t="n">
        <v>2.1</v>
      </c>
      <c r="K481" s="62" t="n">
        <f aca="false">IFERROR((F481-J481)*H481,"")</f>
        <v>55.64</v>
      </c>
      <c r="L481" s="63" t="n">
        <f aca="false">IFERROR(IF(F481&gt;0,LN(F481),""),"")</f>
        <v>1.8531680973567</v>
      </c>
      <c r="M481" s="63" t="n">
        <f aca="false">IFERROR(IF(H481&gt;0,LN(H481),""),"")</f>
        <v>2.56494935746154</v>
      </c>
    </row>
    <row r="482" customFormat="false" ht="15" hidden="false" customHeight="true" outlineLevel="0" collapsed="false">
      <c r="A482" s="60" t="n">
        <v>27</v>
      </c>
      <c r="B482" s="60" t="n">
        <v>6</v>
      </c>
      <c r="C482" s="60" t="s">
        <v>250</v>
      </c>
      <c r="D482" s="60" t="s">
        <v>84</v>
      </c>
      <c r="E482" s="60" t="s">
        <v>245</v>
      </c>
      <c r="F482" s="61" t="n">
        <v>5.8</v>
      </c>
      <c r="G482" s="61" t="n">
        <v>5.8</v>
      </c>
      <c r="H482" s="60" t="n">
        <v>13</v>
      </c>
      <c r="I482" s="62" t="n">
        <f aca="false">IFERROR(F482*H482,"")</f>
        <v>75.4</v>
      </c>
      <c r="J482" s="60" t="n">
        <v>2.1</v>
      </c>
      <c r="K482" s="62" t="n">
        <f aca="false">IFERROR((F482-J482)*H482,"")</f>
        <v>48.1</v>
      </c>
      <c r="L482" s="63" t="n">
        <f aca="false">IFERROR(IF(F482&gt;0,LN(F482),""),"")</f>
        <v>1.75785791755237</v>
      </c>
      <c r="M482" s="63" t="n">
        <f aca="false">IFERROR(IF(H482&gt;0,LN(H482),""),"")</f>
        <v>2.56494935746154</v>
      </c>
    </row>
    <row r="483" customFormat="false" ht="15" hidden="false" customHeight="true" outlineLevel="0" collapsed="false">
      <c r="A483" s="60" t="n">
        <v>28</v>
      </c>
      <c r="B483" s="60" t="n">
        <v>7</v>
      </c>
      <c r="C483" s="60" t="s">
        <v>250</v>
      </c>
      <c r="D483" s="60" t="s">
        <v>84</v>
      </c>
      <c r="E483" s="60" t="s">
        <v>245</v>
      </c>
      <c r="F483" s="61" t="n">
        <v>5.8</v>
      </c>
      <c r="G483" s="61" t="n">
        <v>5.8</v>
      </c>
      <c r="H483" s="60" t="n">
        <v>16</v>
      </c>
      <c r="I483" s="62" t="n">
        <f aca="false">IFERROR(F483*H483,"")</f>
        <v>92.8</v>
      </c>
      <c r="J483" s="60" t="n">
        <v>2.1</v>
      </c>
      <c r="K483" s="62" t="n">
        <f aca="false">IFERROR((F483-J483)*H483,"")</f>
        <v>59.2</v>
      </c>
      <c r="L483" s="63" t="n">
        <f aca="false">IFERROR(IF(F483&gt;0,LN(F483),""),"")</f>
        <v>1.75785791755237</v>
      </c>
      <c r="M483" s="63" t="n">
        <f aca="false">IFERROR(IF(H483&gt;0,LN(H483),""),"")</f>
        <v>2.77258872223978</v>
      </c>
    </row>
    <row r="484" customFormat="false" ht="15" hidden="false" customHeight="true" outlineLevel="0" collapsed="false">
      <c r="A484" s="60" t="n">
        <v>29</v>
      </c>
      <c r="B484" s="60" t="n">
        <v>1</v>
      </c>
      <c r="C484" s="60" t="s">
        <v>250</v>
      </c>
      <c r="D484" s="60" t="s">
        <v>84</v>
      </c>
      <c r="E484" s="60" t="s">
        <v>245</v>
      </c>
      <c r="F484" s="61" t="n">
        <v>5.51</v>
      </c>
      <c r="G484" s="61" t="n">
        <v>5.8</v>
      </c>
      <c r="H484" s="60" t="n">
        <v>14</v>
      </c>
      <c r="I484" s="62" t="n">
        <f aca="false">IFERROR(F484*H484,"")</f>
        <v>77.14</v>
      </c>
      <c r="J484" s="60" t="n">
        <v>2.1</v>
      </c>
      <c r="K484" s="62" t="n">
        <f aca="false">IFERROR((F484-J484)*H484,"")</f>
        <v>47.74</v>
      </c>
      <c r="L484" s="63" t="n">
        <f aca="false">IFERROR(IF(F484&gt;0,LN(F484),""),"")</f>
        <v>1.70656462316482</v>
      </c>
      <c r="M484" s="63" t="n">
        <f aca="false">IFERROR(IF(H484&gt;0,LN(H484),""),"")</f>
        <v>2.63905732961526</v>
      </c>
    </row>
    <row r="485" customFormat="false" ht="15" hidden="false" customHeight="true" outlineLevel="0" collapsed="false">
      <c r="A485" s="60" t="n">
        <v>30</v>
      </c>
      <c r="B485" s="60" t="n">
        <v>2</v>
      </c>
      <c r="C485" s="60" t="s">
        <v>250</v>
      </c>
      <c r="D485" s="60" t="s">
        <v>84</v>
      </c>
      <c r="E485" s="60" t="s">
        <v>245</v>
      </c>
      <c r="F485" s="61" t="n">
        <v>5.51</v>
      </c>
      <c r="G485" s="61" t="n">
        <v>5.8</v>
      </c>
      <c r="H485" s="60" t="n">
        <v>16</v>
      </c>
      <c r="I485" s="62" t="n">
        <f aca="false">IFERROR(F485*H485,"")</f>
        <v>88.16</v>
      </c>
      <c r="J485" s="60" t="n">
        <v>2.1</v>
      </c>
      <c r="K485" s="62" t="n">
        <f aca="false">IFERROR((F485-J485)*H485,"")</f>
        <v>54.56</v>
      </c>
      <c r="L485" s="63" t="n">
        <f aca="false">IFERROR(IF(F485&gt;0,LN(F485),""),"")</f>
        <v>1.70656462316482</v>
      </c>
      <c r="M485" s="63" t="n">
        <f aca="false">IFERROR(IF(H485&gt;0,LN(H485),""),"")</f>
        <v>2.77258872223978</v>
      </c>
    </row>
    <row r="486" customFormat="false" ht="15" hidden="false" customHeight="true" outlineLevel="0" collapsed="false">
      <c r="A486" s="60" t="n">
        <v>31</v>
      </c>
      <c r="B486" s="60" t="n">
        <v>3</v>
      </c>
      <c r="C486" s="60" t="s">
        <v>250</v>
      </c>
      <c r="D486" s="60" t="s">
        <v>84</v>
      </c>
      <c r="E486" s="60" t="s">
        <v>245</v>
      </c>
      <c r="F486" s="61" t="n">
        <v>6.09</v>
      </c>
      <c r="G486" s="61" t="n">
        <v>5.8</v>
      </c>
      <c r="H486" s="60" t="n">
        <v>11</v>
      </c>
      <c r="I486" s="62" t="n">
        <f aca="false">IFERROR(F486*H486,"")</f>
        <v>66.99</v>
      </c>
      <c r="J486" s="60" t="n">
        <v>2.1</v>
      </c>
      <c r="K486" s="62" t="n">
        <f aca="false">IFERROR((F486-J486)*H486,"")</f>
        <v>43.89</v>
      </c>
      <c r="L486" s="63" t="n">
        <f aca="false">IFERROR(IF(F486&gt;0,LN(F486),""),"")</f>
        <v>1.80664808172181</v>
      </c>
      <c r="M486" s="63" t="n">
        <f aca="false">IFERROR(IF(H486&gt;0,LN(H486),""),"")</f>
        <v>2.39789527279837</v>
      </c>
    </row>
    <row r="487" customFormat="false" ht="15" hidden="false" customHeight="true" outlineLevel="0" collapsed="false">
      <c r="A487" s="60" t="n">
        <v>32</v>
      </c>
      <c r="B487" s="60" t="n">
        <v>4</v>
      </c>
      <c r="C487" s="60" t="s">
        <v>250</v>
      </c>
      <c r="D487" s="60" t="s">
        <v>84</v>
      </c>
      <c r="E487" s="60" t="s">
        <v>245</v>
      </c>
      <c r="F487" s="61" t="n">
        <v>5.22</v>
      </c>
      <c r="G487" s="61" t="n">
        <v>5.8</v>
      </c>
      <c r="H487" s="60" t="n">
        <v>16</v>
      </c>
      <c r="I487" s="62" t="n">
        <f aca="false">IFERROR(F487*H487,"")</f>
        <v>83.52</v>
      </c>
      <c r="J487" s="60" t="n">
        <v>2.1</v>
      </c>
      <c r="K487" s="62" t="n">
        <f aca="false">IFERROR((F487-J487)*H487,"")</f>
        <v>49.92</v>
      </c>
      <c r="L487" s="63" t="n">
        <f aca="false">IFERROR(IF(F487&gt;0,LN(F487),""),"")</f>
        <v>1.65249740189455</v>
      </c>
      <c r="M487" s="63" t="n">
        <f aca="false">IFERROR(IF(H487&gt;0,LN(H487),""),"")</f>
        <v>2.77258872223978</v>
      </c>
    </row>
    <row r="488" customFormat="false" ht="15" hidden="false" customHeight="true" outlineLevel="0" collapsed="false">
      <c r="A488" s="60" t="n">
        <v>33</v>
      </c>
      <c r="B488" s="60" t="n">
        <v>5</v>
      </c>
      <c r="C488" s="60" t="s">
        <v>250</v>
      </c>
      <c r="D488" s="60" t="s">
        <v>84</v>
      </c>
      <c r="E488" s="60" t="s">
        <v>245</v>
      </c>
      <c r="F488" s="61" t="n">
        <v>5.8</v>
      </c>
      <c r="G488" s="61" t="n">
        <v>5.8</v>
      </c>
      <c r="H488" s="60" t="n">
        <v>16</v>
      </c>
      <c r="I488" s="62" t="n">
        <f aca="false">IFERROR(F488*H488,"")</f>
        <v>92.8</v>
      </c>
      <c r="J488" s="60" t="n">
        <v>2.1</v>
      </c>
      <c r="K488" s="62" t="n">
        <f aca="false">IFERROR((F488-J488)*H488,"")</f>
        <v>59.2</v>
      </c>
      <c r="L488" s="63" t="n">
        <f aca="false">IFERROR(IF(F488&gt;0,LN(F488),""),"")</f>
        <v>1.75785791755237</v>
      </c>
      <c r="M488" s="63" t="n">
        <f aca="false">IFERROR(IF(H488&gt;0,LN(H488),""),"")</f>
        <v>2.77258872223978</v>
      </c>
    </row>
    <row r="489" customFormat="false" ht="15" hidden="false" customHeight="true" outlineLevel="0" collapsed="false">
      <c r="A489" s="60" t="n">
        <v>34</v>
      </c>
      <c r="B489" s="60" t="n">
        <v>6</v>
      </c>
      <c r="C489" s="60" t="s">
        <v>250</v>
      </c>
      <c r="D489" s="60" t="s">
        <v>84</v>
      </c>
      <c r="E489" s="60" t="s">
        <v>245</v>
      </c>
      <c r="F489" s="61" t="n">
        <v>5.8</v>
      </c>
      <c r="G489" s="61" t="n">
        <v>5.8</v>
      </c>
      <c r="H489" s="60" t="n">
        <v>11</v>
      </c>
      <c r="I489" s="62" t="n">
        <f aca="false">IFERROR(F489*H489,"")</f>
        <v>63.8</v>
      </c>
      <c r="J489" s="60" t="n">
        <v>2.1</v>
      </c>
      <c r="K489" s="62" t="n">
        <f aca="false">IFERROR((F489-J489)*H489,"")</f>
        <v>40.7</v>
      </c>
      <c r="L489" s="63" t="n">
        <f aca="false">IFERROR(IF(F489&gt;0,LN(F489),""),"")</f>
        <v>1.75785791755237</v>
      </c>
      <c r="M489" s="63" t="n">
        <f aca="false">IFERROR(IF(H489&gt;0,LN(H489),""),"")</f>
        <v>2.39789527279837</v>
      </c>
    </row>
    <row r="490" customFormat="false" ht="15" hidden="false" customHeight="true" outlineLevel="0" collapsed="false">
      <c r="A490" s="60" t="n">
        <v>35</v>
      </c>
      <c r="B490" s="60" t="n">
        <v>7</v>
      </c>
      <c r="C490" s="60" t="s">
        <v>250</v>
      </c>
      <c r="D490" s="60" t="s">
        <v>84</v>
      </c>
      <c r="E490" s="60" t="s">
        <v>245</v>
      </c>
      <c r="F490" s="61" t="n">
        <v>6.09</v>
      </c>
      <c r="G490" s="61" t="n">
        <v>5.8</v>
      </c>
      <c r="H490" s="60" t="n">
        <v>14</v>
      </c>
      <c r="I490" s="62" t="n">
        <f aca="false">IFERROR(F490*H490,"")</f>
        <v>85.26</v>
      </c>
      <c r="J490" s="60" t="n">
        <v>2.1</v>
      </c>
      <c r="K490" s="62" t="n">
        <f aca="false">IFERROR((F490-J490)*H490,"")</f>
        <v>55.86</v>
      </c>
      <c r="L490" s="63" t="n">
        <f aca="false">IFERROR(IF(F490&gt;0,LN(F490),""),"")</f>
        <v>1.80664808172181</v>
      </c>
      <c r="M490" s="63" t="n">
        <f aca="false">IFERROR(IF(H490&gt;0,LN(H490),""),"")</f>
        <v>2.63905732961526</v>
      </c>
    </row>
    <row r="491" customFormat="false" ht="15" hidden="false" customHeight="true" outlineLevel="0" collapsed="false">
      <c r="A491" s="60" t="n">
        <v>36</v>
      </c>
      <c r="B491" s="60" t="n">
        <v>1</v>
      </c>
      <c r="C491" s="60" t="s">
        <v>250</v>
      </c>
      <c r="D491" s="60" t="s">
        <v>84</v>
      </c>
      <c r="E491" s="60" t="s">
        <v>245</v>
      </c>
      <c r="F491" s="61" t="n">
        <v>6.38</v>
      </c>
      <c r="G491" s="61" t="n">
        <v>5.8</v>
      </c>
      <c r="H491" s="60" t="n">
        <v>14</v>
      </c>
      <c r="I491" s="62" t="n">
        <f aca="false">IFERROR(F491*H491,"")</f>
        <v>89.32</v>
      </c>
      <c r="J491" s="60" t="n">
        <v>2.1</v>
      </c>
      <c r="K491" s="62" t="n">
        <f aca="false">IFERROR((F491-J491)*H491,"")</f>
        <v>59.92</v>
      </c>
      <c r="L491" s="63" t="n">
        <f aca="false">IFERROR(IF(F491&gt;0,LN(F491),""),"")</f>
        <v>1.8531680973567</v>
      </c>
      <c r="M491" s="63" t="n">
        <f aca="false">IFERROR(IF(H491&gt;0,LN(H491),""),"")</f>
        <v>2.63905732961526</v>
      </c>
    </row>
    <row r="492" customFormat="false" ht="15" hidden="false" customHeight="true" outlineLevel="0" collapsed="false">
      <c r="A492" s="60" t="n">
        <v>37</v>
      </c>
      <c r="B492" s="60" t="n">
        <v>2</v>
      </c>
      <c r="C492" s="60" t="s">
        <v>250</v>
      </c>
      <c r="D492" s="60" t="s">
        <v>84</v>
      </c>
      <c r="E492" s="60" t="s">
        <v>245</v>
      </c>
      <c r="F492" s="61" t="n">
        <v>5.8</v>
      </c>
      <c r="G492" s="61" t="n">
        <v>5.8</v>
      </c>
      <c r="H492" s="60" t="n">
        <v>17</v>
      </c>
      <c r="I492" s="62" t="n">
        <f aca="false">IFERROR(F492*H492,"")</f>
        <v>98.6</v>
      </c>
      <c r="J492" s="60" t="n">
        <v>2.1</v>
      </c>
      <c r="K492" s="62" t="n">
        <f aca="false">IFERROR((F492-J492)*H492,"")</f>
        <v>62.9</v>
      </c>
      <c r="L492" s="63" t="n">
        <f aca="false">IFERROR(IF(F492&gt;0,LN(F492),""),"")</f>
        <v>1.75785791755237</v>
      </c>
      <c r="M492" s="63" t="n">
        <f aca="false">IFERROR(IF(H492&gt;0,LN(H492),""),"")</f>
        <v>2.83321334405622</v>
      </c>
    </row>
    <row r="493" customFormat="false" ht="15" hidden="false" customHeight="true" outlineLevel="0" collapsed="false">
      <c r="A493" s="60" t="n">
        <v>38</v>
      </c>
      <c r="B493" s="60" t="n">
        <v>3</v>
      </c>
      <c r="C493" s="60" t="s">
        <v>250</v>
      </c>
      <c r="D493" s="60" t="s">
        <v>84</v>
      </c>
      <c r="E493" s="60" t="s">
        <v>245</v>
      </c>
      <c r="F493" s="61" t="n">
        <v>6.38</v>
      </c>
      <c r="G493" s="61" t="n">
        <v>5.8</v>
      </c>
      <c r="H493" s="60" t="n">
        <v>12</v>
      </c>
      <c r="I493" s="62" t="n">
        <f aca="false">IFERROR(F493*H493,"")</f>
        <v>76.56</v>
      </c>
      <c r="J493" s="60" t="n">
        <v>2.1</v>
      </c>
      <c r="K493" s="62" t="n">
        <f aca="false">IFERROR((F493-J493)*H493,"")</f>
        <v>51.36</v>
      </c>
      <c r="L493" s="63" t="n">
        <f aca="false">IFERROR(IF(F493&gt;0,LN(F493),""),"")</f>
        <v>1.8531680973567</v>
      </c>
      <c r="M493" s="63" t="n">
        <f aca="false">IFERROR(IF(H493&gt;0,LN(H493),""),"")</f>
        <v>2.484906649788</v>
      </c>
    </row>
    <row r="494" customFormat="false" ht="15" hidden="false" customHeight="true" outlineLevel="0" collapsed="false">
      <c r="A494" s="60" t="n">
        <v>39</v>
      </c>
      <c r="B494" s="60" t="n">
        <v>4</v>
      </c>
      <c r="C494" s="60" t="s">
        <v>250</v>
      </c>
      <c r="D494" s="60" t="s">
        <v>84</v>
      </c>
      <c r="E494" s="60" t="s">
        <v>245</v>
      </c>
      <c r="F494" s="61" t="n">
        <v>5.8</v>
      </c>
      <c r="G494" s="61" t="n">
        <v>5.8</v>
      </c>
      <c r="H494" s="60" t="n">
        <v>17</v>
      </c>
      <c r="I494" s="62" t="n">
        <f aca="false">IFERROR(F494*H494,"")</f>
        <v>98.6</v>
      </c>
      <c r="J494" s="60" t="n">
        <v>2.1</v>
      </c>
      <c r="K494" s="62" t="n">
        <f aca="false">IFERROR((F494-J494)*H494,"")</f>
        <v>62.9</v>
      </c>
      <c r="L494" s="63" t="n">
        <f aca="false">IFERROR(IF(F494&gt;0,LN(F494),""),"")</f>
        <v>1.75785791755237</v>
      </c>
      <c r="M494" s="63" t="n">
        <f aca="false">IFERROR(IF(H494&gt;0,LN(H494),""),"")</f>
        <v>2.83321334405622</v>
      </c>
    </row>
    <row r="495" customFormat="false" ht="15" hidden="false" customHeight="true" outlineLevel="0" collapsed="false">
      <c r="A495" s="60" t="n">
        <v>40</v>
      </c>
      <c r="B495" s="60" t="n">
        <v>5</v>
      </c>
      <c r="C495" s="60" t="s">
        <v>250</v>
      </c>
      <c r="D495" s="60" t="s">
        <v>84</v>
      </c>
      <c r="E495" s="60" t="s">
        <v>245</v>
      </c>
      <c r="F495" s="61" t="n">
        <v>5.8</v>
      </c>
      <c r="G495" s="61" t="n">
        <v>5.8</v>
      </c>
      <c r="H495" s="60" t="n">
        <v>13</v>
      </c>
      <c r="I495" s="62" t="n">
        <f aca="false">IFERROR(F495*H495,"")</f>
        <v>75.4</v>
      </c>
      <c r="J495" s="60" t="n">
        <v>2.1</v>
      </c>
      <c r="K495" s="62" t="n">
        <f aca="false">IFERROR((F495-J495)*H495,"")</f>
        <v>48.1</v>
      </c>
      <c r="L495" s="63" t="n">
        <f aca="false">IFERROR(IF(F495&gt;0,LN(F495),""),"")</f>
        <v>1.75785791755237</v>
      </c>
      <c r="M495" s="63" t="n">
        <f aca="false">IFERROR(IF(H495&gt;0,LN(H495),""),"")</f>
        <v>2.56494935746154</v>
      </c>
    </row>
    <row r="496" customFormat="false" ht="15" hidden="false" customHeight="true" outlineLevel="0" collapsed="false">
      <c r="A496" s="60" t="n">
        <v>41</v>
      </c>
      <c r="B496" s="60" t="n">
        <v>6</v>
      </c>
      <c r="C496" s="60" t="s">
        <v>250</v>
      </c>
      <c r="D496" s="60" t="s">
        <v>84</v>
      </c>
      <c r="E496" s="60" t="s">
        <v>245</v>
      </c>
      <c r="F496" s="61" t="n">
        <v>5.8</v>
      </c>
      <c r="G496" s="61" t="n">
        <v>5.8</v>
      </c>
      <c r="H496" s="60" t="n">
        <v>13</v>
      </c>
      <c r="I496" s="62" t="n">
        <f aca="false">IFERROR(F496*H496,"")</f>
        <v>75.4</v>
      </c>
      <c r="J496" s="60" t="n">
        <v>2.1</v>
      </c>
      <c r="K496" s="62" t="n">
        <f aca="false">IFERROR((F496-J496)*H496,"")</f>
        <v>48.1</v>
      </c>
      <c r="L496" s="63" t="n">
        <f aca="false">IFERROR(IF(F496&gt;0,LN(F496),""),"")</f>
        <v>1.75785791755237</v>
      </c>
      <c r="M496" s="63" t="n">
        <f aca="false">IFERROR(IF(H496&gt;0,LN(H496),""),"")</f>
        <v>2.56494935746154</v>
      </c>
    </row>
    <row r="497" customFormat="false" ht="15" hidden="false" customHeight="true" outlineLevel="0" collapsed="false">
      <c r="A497" s="60" t="n">
        <v>42</v>
      </c>
      <c r="B497" s="60" t="n">
        <v>7</v>
      </c>
      <c r="C497" s="60" t="s">
        <v>250</v>
      </c>
      <c r="D497" s="60" t="s">
        <v>84</v>
      </c>
      <c r="E497" s="60" t="s">
        <v>245</v>
      </c>
      <c r="F497" s="61" t="n">
        <v>5.8</v>
      </c>
      <c r="G497" s="61" t="n">
        <v>5.8</v>
      </c>
      <c r="H497" s="60" t="n">
        <v>19</v>
      </c>
      <c r="I497" s="62" t="n">
        <f aca="false">IFERROR(F497*H497,"")</f>
        <v>110.2</v>
      </c>
      <c r="J497" s="60" t="n">
        <v>2.1</v>
      </c>
      <c r="K497" s="62" t="n">
        <f aca="false">IFERROR((F497-J497)*H497,"")</f>
        <v>70.3</v>
      </c>
      <c r="L497" s="63" t="n">
        <f aca="false">IFERROR(IF(F497&gt;0,LN(F497),""),"")</f>
        <v>1.75785791755237</v>
      </c>
      <c r="M497" s="63" t="n">
        <f aca="false">IFERROR(IF(H497&gt;0,LN(H497),""),"")</f>
        <v>2.94443897916644</v>
      </c>
    </row>
    <row r="498" customFormat="false" ht="15" hidden="false" customHeight="true" outlineLevel="0" collapsed="false">
      <c r="A498" s="60" t="n">
        <v>43</v>
      </c>
      <c r="B498" s="60" t="n">
        <v>1</v>
      </c>
      <c r="C498" s="60" t="s">
        <v>250</v>
      </c>
      <c r="D498" s="60" t="s">
        <v>84</v>
      </c>
      <c r="E498" s="60" t="s">
        <v>245</v>
      </c>
      <c r="F498" s="61" t="n">
        <v>5.8</v>
      </c>
      <c r="G498" s="61" t="n">
        <v>5.8</v>
      </c>
      <c r="H498" s="60" t="n">
        <v>20</v>
      </c>
      <c r="I498" s="62" t="n">
        <f aca="false">IFERROR(F498*H498,"")</f>
        <v>116</v>
      </c>
      <c r="J498" s="60" t="n">
        <v>2.1</v>
      </c>
      <c r="K498" s="62" t="n">
        <f aca="false">IFERROR((F498-J498)*H498,"")</f>
        <v>74</v>
      </c>
      <c r="L498" s="63" t="n">
        <f aca="false">IFERROR(IF(F498&gt;0,LN(F498),""),"")</f>
        <v>1.75785791755237</v>
      </c>
      <c r="M498" s="63" t="n">
        <f aca="false">IFERROR(IF(H498&gt;0,LN(H498),""),"")</f>
        <v>2.99573227355399</v>
      </c>
    </row>
    <row r="499" customFormat="false" ht="15" hidden="false" customHeight="true" outlineLevel="0" collapsed="false">
      <c r="A499" s="60" t="n">
        <v>44</v>
      </c>
      <c r="B499" s="60" t="n">
        <v>2</v>
      </c>
      <c r="C499" s="60" t="s">
        <v>250</v>
      </c>
      <c r="D499" s="60" t="s">
        <v>84</v>
      </c>
      <c r="E499" s="60" t="s">
        <v>245</v>
      </c>
      <c r="F499" s="61" t="n">
        <v>6.38</v>
      </c>
      <c r="G499" s="61" t="n">
        <v>5.8</v>
      </c>
      <c r="H499" s="60" t="n">
        <v>12</v>
      </c>
      <c r="I499" s="62" t="n">
        <f aca="false">IFERROR(F499*H499,"")</f>
        <v>76.56</v>
      </c>
      <c r="J499" s="60" t="n">
        <v>2.1</v>
      </c>
      <c r="K499" s="62" t="n">
        <f aca="false">IFERROR((F499-J499)*H499,"")</f>
        <v>51.36</v>
      </c>
      <c r="L499" s="63" t="n">
        <f aca="false">IFERROR(IF(F499&gt;0,LN(F499),""),"")</f>
        <v>1.8531680973567</v>
      </c>
      <c r="M499" s="63" t="n">
        <f aca="false">IFERROR(IF(H499&gt;0,LN(H499),""),"")</f>
        <v>2.484906649788</v>
      </c>
    </row>
    <row r="500" customFormat="false" ht="15" hidden="false" customHeight="true" outlineLevel="0" collapsed="false">
      <c r="A500" s="60" t="n">
        <v>45</v>
      </c>
      <c r="B500" s="60" t="n">
        <v>3</v>
      </c>
      <c r="C500" s="60" t="s">
        <v>250</v>
      </c>
      <c r="D500" s="60" t="s">
        <v>84</v>
      </c>
      <c r="E500" s="60" t="s">
        <v>245</v>
      </c>
      <c r="F500" s="61" t="n">
        <v>5.51</v>
      </c>
      <c r="G500" s="61" t="n">
        <v>5.8</v>
      </c>
      <c r="H500" s="60" t="n">
        <v>14</v>
      </c>
      <c r="I500" s="62" t="n">
        <f aca="false">IFERROR(F500*H500,"")</f>
        <v>77.14</v>
      </c>
      <c r="J500" s="60" t="n">
        <v>2.1</v>
      </c>
      <c r="K500" s="62" t="n">
        <f aca="false">IFERROR((F500-J500)*H500,"")</f>
        <v>47.74</v>
      </c>
      <c r="L500" s="63" t="n">
        <f aca="false">IFERROR(IF(F500&gt;0,LN(F500),""),"")</f>
        <v>1.70656462316482</v>
      </c>
      <c r="M500" s="63" t="n">
        <f aca="false">IFERROR(IF(H500&gt;0,LN(H500),""),"")</f>
        <v>2.63905732961526</v>
      </c>
    </row>
    <row r="501" customFormat="false" ht="15" hidden="false" customHeight="true" outlineLevel="0" collapsed="false">
      <c r="A501" s="60" t="n">
        <v>46</v>
      </c>
      <c r="B501" s="60" t="n">
        <v>4</v>
      </c>
      <c r="C501" s="60" t="s">
        <v>250</v>
      </c>
      <c r="D501" s="60" t="s">
        <v>84</v>
      </c>
      <c r="E501" s="60" t="s">
        <v>245</v>
      </c>
      <c r="F501" s="61" t="n">
        <v>5.8</v>
      </c>
      <c r="G501" s="61" t="n">
        <v>5.8</v>
      </c>
      <c r="H501" s="60" t="n">
        <v>14</v>
      </c>
      <c r="I501" s="62" t="n">
        <f aca="false">IFERROR(F501*H501,"")</f>
        <v>81.2</v>
      </c>
      <c r="J501" s="60" t="n">
        <v>2.1</v>
      </c>
      <c r="K501" s="62" t="n">
        <f aca="false">IFERROR((F501-J501)*H501,"")</f>
        <v>51.8</v>
      </c>
      <c r="L501" s="63" t="n">
        <f aca="false">IFERROR(IF(F501&gt;0,LN(F501),""),"")</f>
        <v>1.75785791755237</v>
      </c>
      <c r="M501" s="63" t="n">
        <f aca="false">IFERROR(IF(H501&gt;0,LN(H501),""),"")</f>
        <v>2.63905732961526</v>
      </c>
    </row>
    <row r="502" customFormat="false" ht="15" hidden="false" customHeight="true" outlineLevel="0" collapsed="false">
      <c r="A502" s="60" t="n">
        <v>47</v>
      </c>
      <c r="B502" s="60" t="n">
        <v>5</v>
      </c>
      <c r="C502" s="60" t="s">
        <v>250</v>
      </c>
      <c r="D502" s="60" t="s">
        <v>84</v>
      </c>
      <c r="E502" s="60" t="s">
        <v>245</v>
      </c>
      <c r="F502" s="61" t="n">
        <v>5.22</v>
      </c>
      <c r="G502" s="61" t="n">
        <v>5.8</v>
      </c>
      <c r="H502" s="60" t="n">
        <v>15</v>
      </c>
      <c r="I502" s="62" t="n">
        <f aca="false">IFERROR(F502*H502,"")</f>
        <v>78.3</v>
      </c>
      <c r="J502" s="60" t="n">
        <v>2.1</v>
      </c>
      <c r="K502" s="62" t="n">
        <f aca="false">IFERROR((F502-J502)*H502,"")</f>
        <v>46.8</v>
      </c>
      <c r="L502" s="63" t="n">
        <f aca="false">IFERROR(IF(F502&gt;0,LN(F502),""),"")</f>
        <v>1.65249740189455</v>
      </c>
      <c r="M502" s="63" t="n">
        <f aca="false">IFERROR(IF(H502&gt;0,LN(H502),""),"")</f>
        <v>2.70805020110221</v>
      </c>
    </row>
    <row r="503" customFormat="false" ht="15" hidden="false" customHeight="true" outlineLevel="0" collapsed="false">
      <c r="A503" s="60" t="n">
        <v>48</v>
      </c>
      <c r="B503" s="60" t="n">
        <v>6</v>
      </c>
      <c r="C503" s="60" t="s">
        <v>250</v>
      </c>
      <c r="D503" s="60" t="s">
        <v>84</v>
      </c>
      <c r="E503" s="60" t="s">
        <v>245</v>
      </c>
      <c r="F503" s="61" t="n">
        <v>5.8</v>
      </c>
      <c r="G503" s="61" t="n">
        <v>5.8</v>
      </c>
      <c r="H503" s="60" t="n">
        <v>18</v>
      </c>
      <c r="I503" s="62" t="n">
        <f aca="false">IFERROR(F503*H503,"")</f>
        <v>104.4</v>
      </c>
      <c r="J503" s="60" t="n">
        <v>2.1</v>
      </c>
      <c r="K503" s="62" t="n">
        <f aca="false">IFERROR((F503-J503)*H503,"")</f>
        <v>66.6</v>
      </c>
      <c r="L503" s="63" t="n">
        <f aca="false">IFERROR(IF(F503&gt;0,LN(F503),""),"")</f>
        <v>1.75785791755237</v>
      </c>
      <c r="M503" s="63" t="n">
        <f aca="false">IFERROR(IF(H503&gt;0,LN(H503),""),"")</f>
        <v>2.89037175789616</v>
      </c>
    </row>
    <row r="504" customFormat="false" ht="15" hidden="false" customHeight="true" outlineLevel="0" collapsed="false">
      <c r="A504" s="60" t="n">
        <v>49</v>
      </c>
      <c r="B504" s="60" t="n">
        <v>7</v>
      </c>
      <c r="C504" s="60" t="s">
        <v>250</v>
      </c>
      <c r="D504" s="60" t="s">
        <v>84</v>
      </c>
      <c r="E504" s="60" t="s">
        <v>245</v>
      </c>
      <c r="F504" s="61" t="n">
        <v>5.8</v>
      </c>
      <c r="G504" s="61" t="n">
        <v>5.8</v>
      </c>
      <c r="H504" s="60" t="n">
        <v>20</v>
      </c>
      <c r="I504" s="62" t="n">
        <f aca="false">IFERROR(F504*H504,"")</f>
        <v>116</v>
      </c>
      <c r="J504" s="60" t="n">
        <v>2.1</v>
      </c>
      <c r="K504" s="62" t="n">
        <f aca="false">IFERROR((F504-J504)*H504,"")</f>
        <v>74</v>
      </c>
      <c r="L504" s="63" t="n">
        <f aca="false">IFERROR(IF(F504&gt;0,LN(F504),""),"")</f>
        <v>1.75785791755237</v>
      </c>
      <c r="M504" s="63" t="n">
        <f aca="false">IFERROR(IF(H504&gt;0,LN(H504),""),"")</f>
        <v>2.99573227355399</v>
      </c>
    </row>
    <row r="505" customFormat="false" ht="15" hidden="false" customHeight="true" outlineLevel="0" collapsed="false">
      <c r="A505" s="60" t="n">
        <v>50</v>
      </c>
      <c r="B505" s="60" t="n">
        <v>1</v>
      </c>
      <c r="C505" s="60" t="s">
        <v>250</v>
      </c>
      <c r="D505" s="60" t="s">
        <v>84</v>
      </c>
      <c r="E505" s="60" t="s">
        <v>245</v>
      </c>
      <c r="F505" s="61" t="n">
        <v>6.38</v>
      </c>
      <c r="G505" s="61" t="n">
        <v>5.8</v>
      </c>
      <c r="H505" s="60" t="n">
        <v>14</v>
      </c>
      <c r="I505" s="62" t="n">
        <f aca="false">IFERROR(F505*H505,"")</f>
        <v>89.32</v>
      </c>
      <c r="J505" s="60" t="n">
        <v>2.1</v>
      </c>
      <c r="K505" s="62" t="n">
        <f aca="false">IFERROR((F505-J505)*H505,"")</f>
        <v>59.92</v>
      </c>
      <c r="L505" s="63" t="n">
        <f aca="false">IFERROR(IF(F505&gt;0,LN(F505),""),"")</f>
        <v>1.8531680973567</v>
      </c>
      <c r="M505" s="63" t="n">
        <f aca="false">IFERROR(IF(H505&gt;0,LN(H505),""),"")</f>
        <v>2.63905732961526</v>
      </c>
    </row>
    <row r="506" customFormat="false" ht="15" hidden="false" customHeight="true" outlineLevel="0" collapsed="false">
      <c r="A506" s="60" t="n">
        <v>51</v>
      </c>
      <c r="B506" s="60" t="n">
        <v>2</v>
      </c>
      <c r="C506" s="60" t="s">
        <v>250</v>
      </c>
      <c r="D506" s="60" t="s">
        <v>84</v>
      </c>
      <c r="E506" s="60" t="s">
        <v>245</v>
      </c>
      <c r="F506" s="61" t="n">
        <v>5.51</v>
      </c>
      <c r="G506" s="61" t="n">
        <v>5.8</v>
      </c>
      <c r="H506" s="60" t="n">
        <v>15</v>
      </c>
      <c r="I506" s="62" t="n">
        <f aca="false">IFERROR(F506*H506,"")</f>
        <v>82.65</v>
      </c>
      <c r="J506" s="60" t="n">
        <v>2.1</v>
      </c>
      <c r="K506" s="62" t="n">
        <f aca="false">IFERROR((F506-J506)*H506,"")</f>
        <v>51.15</v>
      </c>
      <c r="L506" s="63" t="n">
        <f aca="false">IFERROR(IF(F506&gt;0,LN(F506),""),"")</f>
        <v>1.70656462316482</v>
      </c>
      <c r="M506" s="63" t="n">
        <f aca="false">IFERROR(IF(H506&gt;0,LN(H506),""),"")</f>
        <v>2.70805020110221</v>
      </c>
    </row>
    <row r="507" customFormat="false" ht="15" hidden="false" customHeight="true" outlineLevel="0" collapsed="false">
      <c r="A507" s="60" t="n">
        <v>52</v>
      </c>
      <c r="B507" s="60" t="n">
        <v>3</v>
      </c>
      <c r="C507" s="60" t="s">
        <v>250</v>
      </c>
      <c r="D507" s="60" t="s">
        <v>84</v>
      </c>
      <c r="E507" s="60" t="s">
        <v>245</v>
      </c>
      <c r="F507" s="61" t="n">
        <v>6.09</v>
      </c>
      <c r="G507" s="61" t="n">
        <v>5.8</v>
      </c>
      <c r="H507" s="60" t="n">
        <v>14</v>
      </c>
      <c r="I507" s="62" t="n">
        <f aca="false">IFERROR(F507*H507,"")</f>
        <v>85.26</v>
      </c>
      <c r="J507" s="60" t="n">
        <v>2.1</v>
      </c>
      <c r="K507" s="62" t="n">
        <f aca="false">IFERROR((F507-J507)*H507,"")</f>
        <v>55.86</v>
      </c>
      <c r="L507" s="63" t="n">
        <f aca="false">IFERROR(IF(F507&gt;0,LN(F507),""),"")</f>
        <v>1.80664808172181</v>
      </c>
      <c r="M507" s="63" t="n">
        <f aca="false">IFERROR(IF(H507&gt;0,LN(H507),""),"")</f>
        <v>2.63905732961526</v>
      </c>
    </row>
    <row r="508" customFormat="false" ht="15" hidden="false" customHeight="true" outlineLevel="0" collapsed="false">
      <c r="A508" s="60" t="n">
        <v>53</v>
      </c>
      <c r="B508" s="60" t="n">
        <v>4</v>
      </c>
      <c r="C508" s="60" t="s">
        <v>250</v>
      </c>
      <c r="D508" s="60" t="s">
        <v>84</v>
      </c>
      <c r="E508" s="60" t="s">
        <v>245</v>
      </c>
      <c r="F508" s="61" t="n">
        <v>6.09</v>
      </c>
      <c r="G508" s="61" t="n">
        <v>5.8</v>
      </c>
      <c r="H508" s="60" t="n">
        <v>14</v>
      </c>
      <c r="I508" s="62" t="n">
        <f aca="false">IFERROR(F508*H508,"")</f>
        <v>85.26</v>
      </c>
      <c r="J508" s="60" t="n">
        <v>2.1</v>
      </c>
      <c r="K508" s="62" t="n">
        <f aca="false">IFERROR((F508-J508)*H508,"")</f>
        <v>55.86</v>
      </c>
      <c r="L508" s="63" t="n">
        <f aca="false">IFERROR(IF(F508&gt;0,LN(F508),""),"")</f>
        <v>1.80664808172181</v>
      </c>
      <c r="M508" s="63" t="n">
        <f aca="false">IFERROR(IF(H508&gt;0,LN(H508),""),"")</f>
        <v>2.63905732961526</v>
      </c>
    </row>
    <row r="509" customFormat="false" ht="15" hidden="false" customHeight="true" outlineLevel="0" collapsed="false">
      <c r="A509" s="60" t="n">
        <v>54</v>
      </c>
      <c r="B509" s="60" t="n">
        <v>5</v>
      </c>
      <c r="C509" s="60" t="s">
        <v>250</v>
      </c>
      <c r="D509" s="60" t="s">
        <v>84</v>
      </c>
      <c r="E509" s="60" t="s">
        <v>245</v>
      </c>
      <c r="F509" s="61" t="n">
        <v>5.8</v>
      </c>
      <c r="G509" s="61" t="n">
        <v>5.8</v>
      </c>
      <c r="H509" s="60" t="n">
        <v>16</v>
      </c>
      <c r="I509" s="62" t="n">
        <f aca="false">IFERROR(F509*H509,"")</f>
        <v>92.8</v>
      </c>
      <c r="J509" s="60" t="n">
        <v>2.1</v>
      </c>
      <c r="K509" s="62" t="n">
        <f aca="false">IFERROR((F509-J509)*H509,"")</f>
        <v>59.2</v>
      </c>
      <c r="L509" s="63" t="n">
        <f aca="false">IFERROR(IF(F509&gt;0,LN(F509),""),"")</f>
        <v>1.75785791755237</v>
      </c>
      <c r="M509" s="63" t="n">
        <f aca="false">IFERROR(IF(H509&gt;0,LN(H509),""),"")</f>
        <v>2.77258872223978</v>
      </c>
    </row>
    <row r="510" customFormat="false" ht="15" hidden="false" customHeight="true" outlineLevel="0" collapsed="false">
      <c r="A510" s="60" t="n">
        <v>55</v>
      </c>
      <c r="B510" s="60" t="n">
        <v>6</v>
      </c>
      <c r="C510" s="60" t="s">
        <v>250</v>
      </c>
      <c r="D510" s="60" t="s">
        <v>84</v>
      </c>
      <c r="E510" s="60" t="s">
        <v>245</v>
      </c>
      <c r="F510" s="61" t="n">
        <v>5.22</v>
      </c>
      <c r="G510" s="61" t="n">
        <v>5.8</v>
      </c>
      <c r="H510" s="60" t="n">
        <v>14</v>
      </c>
      <c r="I510" s="62" t="n">
        <f aca="false">IFERROR(F510*H510,"")</f>
        <v>73.08</v>
      </c>
      <c r="J510" s="60" t="n">
        <v>2.1</v>
      </c>
      <c r="K510" s="62" t="n">
        <f aca="false">IFERROR((F510-J510)*H510,"")</f>
        <v>43.68</v>
      </c>
      <c r="L510" s="63" t="n">
        <f aca="false">IFERROR(IF(F510&gt;0,LN(F510),""),"")</f>
        <v>1.65249740189455</v>
      </c>
      <c r="M510" s="63" t="n">
        <f aca="false">IFERROR(IF(H510&gt;0,LN(H510),""),"")</f>
        <v>2.63905732961526</v>
      </c>
    </row>
    <row r="511" customFormat="false" ht="15" hidden="false" customHeight="true" outlineLevel="0" collapsed="false">
      <c r="A511" s="60" t="n">
        <v>56</v>
      </c>
      <c r="B511" s="60" t="n">
        <v>7</v>
      </c>
      <c r="C511" s="60" t="s">
        <v>250</v>
      </c>
      <c r="D511" s="60" t="s">
        <v>84</v>
      </c>
      <c r="E511" s="60" t="s">
        <v>245</v>
      </c>
      <c r="F511" s="61" t="n">
        <v>6.38</v>
      </c>
      <c r="G511" s="61" t="n">
        <v>5.8</v>
      </c>
      <c r="H511" s="60" t="n">
        <v>13</v>
      </c>
      <c r="I511" s="62" t="n">
        <f aca="false">IFERROR(F511*H511,"")</f>
        <v>82.94</v>
      </c>
      <c r="J511" s="60" t="n">
        <v>2.1</v>
      </c>
      <c r="K511" s="62" t="n">
        <f aca="false">IFERROR((F511-J511)*H511,"")</f>
        <v>55.64</v>
      </c>
      <c r="L511" s="63" t="n">
        <f aca="false">IFERROR(IF(F511&gt;0,LN(F511),""),"")</f>
        <v>1.8531680973567</v>
      </c>
      <c r="M511" s="63" t="n">
        <f aca="false">IFERROR(IF(H511&gt;0,LN(H511),""),"")</f>
        <v>2.56494935746154</v>
      </c>
    </row>
    <row r="512" customFormat="false" ht="15" hidden="false" customHeight="true" outlineLevel="0" collapsed="false">
      <c r="A512" s="60" t="n">
        <v>57</v>
      </c>
      <c r="B512" s="60" t="n">
        <v>1</v>
      </c>
      <c r="C512" s="60" t="s">
        <v>250</v>
      </c>
      <c r="D512" s="60" t="s">
        <v>84</v>
      </c>
      <c r="E512" s="60" t="s">
        <v>245</v>
      </c>
      <c r="F512" s="61" t="n">
        <v>5.51</v>
      </c>
      <c r="G512" s="61" t="n">
        <v>5.8</v>
      </c>
      <c r="H512" s="60" t="n">
        <v>13</v>
      </c>
      <c r="I512" s="62" t="n">
        <f aca="false">IFERROR(F512*H512,"")</f>
        <v>71.63</v>
      </c>
      <c r="J512" s="60" t="n">
        <v>2.1</v>
      </c>
      <c r="K512" s="62" t="n">
        <f aca="false">IFERROR((F512-J512)*H512,"")</f>
        <v>44.33</v>
      </c>
      <c r="L512" s="63" t="n">
        <f aca="false">IFERROR(IF(F512&gt;0,LN(F512),""),"")</f>
        <v>1.70656462316482</v>
      </c>
      <c r="M512" s="63" t="n">
        <f aca="false">IFERROR(IF(H512&gt;0,LN(H512),""),"")</f>
        <v>2.56494935746154</v>
      </c>
    </row>
    <row r="513" customFormat="false" ht="15" hidden="false" customHeight="true" outlineLevel="0" collapsed="false">
      <c r="A513" s="60" t="n">
        <v>58</v>
      </c>
      <c r="B513" s="60" t="n">
        <v>2</v>
      </c>
      <c r="C513" s="60" t="s">
        <v>250</v>
      </c>
      <c r="D513" s="60" t="s">
        <v>84</v>
      </c>
      <c r="E513" s="60" t="s">
        <v>245</v>
      </c>
      <c r="F513" s="61" t="n">
        <v>5.51</v>
      </c>
      <c r="G513" s="61" t="n">
        <v>5.8</v>
      </c>
      <c r="H513" s="60" t="n">
        <v>18</v>
      </c>
      <c r="I513" s="62" t="n">
        <f aca="false">IFERROR(F513*H513,"")</f>
        <v>99.18</v>
      </c>
      <c r="J513" s="60" t="n">
        <v>2.1</v>
      </c>
      <c r="K513" s="62" t="n">
        <f aca="false">IFERROR((F513-J513)*H513,"")</f>
        <v>61.38</v>
      </c>
      <c r="L513" s="63" t="n">
        <f aca="false">IFERROR(IF(F513&gt;0,LN(F513),""),"")</f>
        <v>1.70656462316482</v>
      </c>
      <c r="M513" s="63" t="n">
        <f aca="false">IFERROR(IF(H513&gt;0,LN(H513),""),"")</f>
        <v>2.89037175789616</v>
      </c>
    </row>
    <row r="514" customFormat="false" ht="15" hidden="false" customHeight="true" outlineLevel="0" collapsed="false">
      <c r="A514" s="60" t="n">
        <v>59</v>
      </c>
      <c r="B514" s="60" t="n">
        <v>3</v>
      </c>
      <c r="C514" s="60" t="s">
        <v>250</v>
      </c>
      <c r="D514" s="60" t="s">
        <v>84</v>
      </c>
      <c r="E514" s="60" t="s">
        <v>245</v>
      </c>
      <c r="F514" s="61" t="n">
        <v>5.22</v>
      </c>
      <c r="G514" s="61" t="n">
        <v>5.8</v>
      </c>
      <c r="H514" s="60" t="n">
        <v>11</v>
      </c>
      <c r="I514" s="62" t="n">
        <f aca="false">IFERROR(F514*H514,"")</f>
        <v>57.42</v>
      </c>
      <c r="J514" s="60" t="n">
        <v>2.1</v>
      </c>
      <c r="K514" s="62" t="n">
        <f aca="false">IFERROR((F514-J514)*H514,"")</f>
        <v>34.32</v>
      </c>
      <c r="L514" s="63" t="n">
        <f aca="false">IFERROR(IF(F514&gt;0,LN(F514),""),"")</f>
        <v>1.65249740189455</v>
      </c>
      <c r="M514" s="63" t="n">
        <f aca="false">IFERROR(IF(H514&gt;0,LN(H514),""),"")</f>
        <v>2.39789527279837</v>
      </c>
    </row>
    <row r="515" customFormat="false" ht="15" hidden="false" customHeight="true" outlineLevel="0" collapsed="false">
      <c r="A515" s="60" t="n">
        <v>60</v>
      </c>
      <c r="B515" s="60" t="n">
        <v>4</v>
      </c>
      <c r="C515" s="60" t="s">
        <v>250</v>
      </c>
      <c r="D515" s="60" t="s">
        <v>84</v>
      </c>
      <c r="E515" s="60" t="s">
        <v>245</v>
      </c>
      <c r="F515" s="61" t="n">
        <v>5.8</v>
      </c>
      <c r="G515" s="61" t="n">
        <v>5.8</v>
      </c>
      <c r="H515" s="60" t="n">
        <v>16</v>
      </c>
      <c r="I515" s="62" t="n">
        <f aca="false">IFERROR(F515*H515,"")</f>
        <v>92.8</v>
      </c>
      <c r="J515" s="60" t="n">
        <v>2.1</v>
      </c>
      <c r="K515" s="62" t="n">
        <f aca="false">IFERROR((F515-J515)*H515,"")</f>
        <v>59.2</v>
      </c>
      <c r="L515" s="63" t="n">
        <f aca="false">IFERROR(IF(F515&gt;0,LN(F515),""),"")</f>
        <v>1.75785791755237</v>
      </c>
      <c r="M515" s="63" t="n">
        <f aca="false">IFERROR(IF(H515&gt;0,LN(H515),""),"")</f>
        <v>2.77258872223978</v>
      </c>
    </row>
    <row r="516" customFormat="false" ht="15" hidden="false" customHeight="true" outlineLevel="0" collapsed="false">
      <c r="A516" s="60" t="n">
        <v>61</v>
      </c>
      <c r="B516" s="60" t="n">
        <v>5</v>
      </c>
      <c r="C516" s="60" t="s">
        <v>250</v>
      </c>
      <c r="D516" s="60" t="s">
        <v>84</v>
      </c>
      <c r="E516" s="60" t="s">
        <v>245</v>
      </c>
      <c r="F516" s="61" t="n">
        <v>6.09</v>
      </c>
      <c r="G516" s="61" t="n">
        <v>5.8</v>
      </c>
      <c r="H516" s="60" t="n">
        <v>13</v>
      </c>
      <c r="I516" s="62" t="n">
        <f aca="false">IFERROR(F516*H516,"")</f>
        <v>79.17</v>
      </c>
      <c r="J516" s="60" t="n">
        <v>2.1</v>
      </c>
      <c r="K516" s="62" t="n">
        <f aca="false">IFERROR((F516-J516)*H516,"")</f>
        <v>51.87</v>
      </c>
      <c r="L516" s="63" t="n">
        <f aca="false">IFERROR(IF(F516&gt;0,LN(F516),""),"")</f>
        <v>1.80664808172181</v>
      </c>
      <c r="M516" s="63" t="n">
        <f aca="false">IFERROR(IF(H516&gt;0,LN(H516),""),"")</f>
        <v>2.56494935746154</v>
      </c>
    </row>
    <row r="517" customFormat="false" ht="15" hidden="false" customHeight="true" outlineLevel="0" collapsed="false">
      <c r="A517" s="60" t="n">
        <v>62</v>
      </c>
      <c r="B517" s="60" t="n">
        <v>6</v>
      </c>
      <c r="C517" s="60" t="s">
        <v>250</v>
      </c>
      <c r="D517" s="60" t="s">
        <v>84</v>
      </c>
      <c r="E517" s="60" t="s">
        <v>245</v>
      </c>
      <c r="F517" s="61" t="n">
        <v>5.8</v>
      </c>
      <c r="G517" s="61" t="n">
        <v>5.8</v>
      </c>
      <c r="H517" s="60" t="n">
        <v>12</v>
      </c>
      <c r="I517" s="62" t="n">
        <f aca="false">IFERROR(F517*H517,"")</f>
        <v>69.6</v>
      </c>
      <c r="J517" s="60" t="n">
        <v>2.1</v>
      </c>
      <c r="K517" s="62" t="n">
        <f aca="false">IFERROR((F517-J517)*H517,"")</f>
        <v>44.4</v>
      </c>
      <c r="L517" s="63" t="n">
        <f aca="false">IFERROR(IF(F517&gt;0,LN(F517),""),"")</f>
        <v>1.75785791755237</v>
      </c>
      <c r="M517" s="63" t="n">
        <f aca="false">IFERROR(IF(H517&gt;0,LN(H517),""),"")</f>
        <v>2.484906649788</v>
      </c>
    </row>
    <row r="518" customFormat="false" ht="15" hidden="false" customHeight="true" outlineLevel="0" collapsed="false">
      <c r="A518" s="60" t="n">
        <v>63</v>
      </c>
      <c r="B518" s="60" t="n">
        <v>7</v>
      </c>
      <c r="C518" s="60" t="s">
        <v>250</v>
      </c>
      <c r="D518" s="60" t="s">
        <v>84</v>
      </c>
      <c r="E518" s="60" t="s">
        <v>245</v>
      </c>
      <c r="F518" s="61" t="n">
        <v>6.38</v>
      </c>
      <c r="G518" s="61" t="n">
        <v>5.8</v>
      </c>
      <c r="H518" s="60" t="n">
        <v>15</v>
      </c>
      <c r="I518" s="62" t="n">
        <f aca="false">IFERROR(F518*H518,"")</f>
        <v>95.7</v>
      </c>
      <c r="J518" s="60" t="n">
        <v>2.1</v>
      </c>
      <c r="K518" s="62" t="n">
        <f aca="false">IFERROR((F518-J518)*H518,"")</f>
        <v>64.2</v>
      </c>
      <c r="L518" s="63" t="n">
        <f aca="false">IFERROR(IF(F518&gt;0,LN(F518),""),"")</f>
        <v>1.8531680973567</v>
      </c>
      <c r="M518" s="63" t="n">
        <f aca="false">IFERROR(IF(H518&gt;0,LN(H518),""),"")</f>
        <v>2.70805020110221</v>
      </c>
    </row>
    <row r="519" customFormat="false" ht="15" hidden="false" customHeight="true" outlineLevel="0" collapsed="false">
      <c r="A519" s="60" t="n">
        <v>64</v>
      </c>
      <c r="B519" s="60" t="n">
        <v>1</v>
      </c>
      <c r="C519" s="60" t="s">
        <v>250</v>
      </c>
      <c r="D519" s="60" t="s">
        <v>84</v>
      </c>
      <c r="E519" s="60" t="s">
        <v>245</v>
      </c>
      <c r="F519" s="61" t="n">
        <v>5.8</v>
      </c>
      <c r="G519" s="61" t="n">
        <v>5.8</v>
      </c>
      <c r="H519" s="60" t="n">
        <v>13</v>
      </c>
      <c r="I519" s="62" t="n">
        <f aca="false">IFERROR(F519*H519,"")</f>
        <v>75.4</v>
      </c>
      <c r="J519" s="60" t="n">
        <v>2.1</v>
      </c>
      <c r="K519" s="62" t="n">
        <f aca="false">IFERROR((F519-J519)*H519,"")</f>
        <v>48.1</v>
      </c>
      <c r="L519" s="63" t="n">
        <f aca="false">IFERROR(IF(F519&gt;0,LN(F519),""),"")</f>
        <v>1.75785791755237</v>
      </c>
      <c r="M519" s="63" t="n">
        <f aca="false">IFERROR(IF(H519&gt;0,LN(H519),""),"")</f>
        <v>2.56494935746154</v>
      </c>
    </row>
    <row r="520" customFormat="false" ht="15" hidden="false" customHeight="true" outlineLevel="0" collapsed="false">
      <c r="A520" s="60" t="n">
        <v>65</v>
      </c>
      <c r="B520" s="60" t="n">
        <v>2</v>
      </c>
      <c r="C520" s="60" t="s">
        <v>250</v>
      </c>
      <c r="D520" s="60" t="s">
        <v>84</v>
      </c>
      <c r="E520" s="60" t="s">
        <v>245</v>
      </c>
      <c r="F520" s="61" t="n">
        <v>6.38</v>
      </c>
      <c r="G520" s="61" t="n">
        <v>5.8</v>
      </c>
      <c r="H520" s="60" t="n">
        <v>13</v>
      </c>
      <c r="I520" s="62" t="n">
        <f aca="false">IFERROR(F520*H520,"")</f>
        <v>82.94</v>
      </c>
      <c r="J520" s="60" t="n">
        <v>2.1</v>
      </c>
      <c r="K520" s="62" t="n">
        <f aca="false">IFERROR((F520-J520)*H520,"")</f>
        <v>55.64</v>
      </c>
      <c r="L520" s="63" t="n">
        <f aca="false">IFERROR(IF(F520&gt;0,LN(F520),""),"")</f>
        <v>1.8531680973567</v>
      </c>
      <c r="M520" s="63" t="n">
        <f aca="false">IFERROR(IF(H520&gt;0,LN(H520),""),"")</f>
        <v>2.56494935746154</v>
      </c>
    </row>
    <row r="521" customFormat="false" ht="15" hidden="false" customHeight="true" outlineLevel="0" collapsed="false">
      <c r="A521" s="60" t="n">
        <v>66</v>
      </c>
      <c r="B521" s="60" t="n">
        <v>3</v>
      </c>
      <c r="C521" s="60" t="s">
        <v>250</v>
      </c>
      <c r="D521" s="60" t="s">
        <v>84</v>
      </c>
      <c r="E521" s="60" t="s">
        <v>245</v>
      </c>
      <c r="F521" s="61" t="n">
        <v>6.09</v>
      </c>
      <c r="G521" s="61" t="n">
        <v>5.8</v>
      </c>
      <c r="H521" s="60" t="n">
        <v>11</v>
      </c>
      <c r="I521" s="62" t="n">
        <f aca="false">IFERROR(F521*H521,"")</f>
        <v>66.99</v>
      </c>
      <c r="J521" s="60" t="n">
        <v>2.1</v>
      </c>
      <c r="K521" s="62" t="n">
        <f aca="false">IFERROR((F521-J521)*H521,"")</f>
        <v>43.89</v>
      </c>
      <c r="L521" s="63" t="n">
        <f aca="false">IFERROR(IF(F521&gt;0,LN(F521),""),"")</f>
        <v>1.80664808172181</v>
      </c>
      <c r="M521" s="63" t="n">
        <f aca="false">IFERROR(IF(H521&gt;0,LN(H521),""),"")</f>
        <v>2.39789527279837</v>
      </c>
    </row>
    <row r="522" customFormat="false" ht="15" hidden="false" customHeight="true" outlineLevel="0" collapsed="false">
      <c r="A522" s="60" t="n">
        <v>67</v>
      </c>
      <c r="B522" s="60" t="n">
        <v>4</v>
      </c>
      <c r="C522" s="60" t="s">
        <v>250</v>
      </c>
      <c r="D522" s="60" t="s">
        <v>84</v>
      </c>
      <c r="E522" s="60" t="s">
        <v>245</v>
      </c>
      <c r="F522" s="61" t="n">
        <v>5.22</v>
      </c>
      <c r="G522" s="61" t="n">
        <v>5.8</v>
      </c>
      <c r="H522" s="60" t="n">
        <v>15</v>
      </c>
      <c r="I522" s="62" t="n">
        <f aca="false">IFERROR(F522*H522,"")</f>
        <v>78.3</v>
      </c>
      <c r="J522" s="60" t="n">
        <v>2.1</v>
      </c>
      <c r="K522" s="62" t="n">
        <f aca="false">IFERROR((F522-J522)*H522,"")</f>
        <v>46.8</v>
      </c>
      <c r="L522" s="63" t="n">
        <f aca="false">IFERROR(IF(F522&gt;0,LN(F522),""),"")</f>
        <v>1.65249740189455</v>
      </c>
      <c r="M522" s="63" t="n">
        <f aca="false">IFERROR(IF(H522&gt;0,LN(H522),""),"")</f>
        <v>2.70805020110221</v>
      </c>
    </row>
    <row r="523" customFormat="false" ht="15" hidden="false" customHeight="true" outlineLevel="0" collapsed="false">
      <c r="A523" s="60" t="n">
        <v>68</v>
      </c>
      <c r="B523" s="60" t="n">
        <v>5</v>
      </c>
      <c r="C523" s="60" t="s">
        <v>250</v>
      </c>
      <c r="D523" s="60" t="s">
        <v>84</v>
      </c>
      <c r="E523" s="60" t="s">
        <v>245</v>
      </c>
      <c r="F523" s="61" t="n">
        <v>6.38</v>
      </c>
      <c r="G523" s="61" t="n">
        <v>5.8</v>
      </c>
      <c r="H523" s="60" t="n">
        <v>13</v>
      </c>
      <c r="I523" s="62" t="n">
        <f aca="false">IFERROR(F523*H523,"")</f>
        <v>82.94</v>
      </c>
      <c r="J523" s="60" t="n">
        <v>2.1</v>
      </c>
      <c r="K523" s="62" t="n">
        <f aca="false">IFERROR((F523-J523)*H523,"")</f>
        <v>55.64</v>
      </c>
      <c r="L523" s="63" t="n">
        <f aca="false">IFERROR(IF(F523&gt;0,LN(F523),""),"")</f>
        <v>1.8531680973567</v>
      </c>
      <c r="M523" s="63" t="n">
        <f aca="false">IFERROR(IF(H523&gt;0,LN(H523),""),"")</f>
        <v>2.56494935746154</v>
      </c>
    </row>
    <row r="524" customFormat="false" ht="15" hidden="false" customHeight="true" outlineLevel="0" collapsed="false">
      <c r="A524" s="60" t="n">
        <v>69</v>
      </c>
      <c r="B524" s="60" t="n">
        <v>6</v>
      </c>
      <c r="C524" s="60" t="s">
        <v>250</v>
      </c>
      <c r="D524" s="60" t="s">
        <v>84</v>
      </c>
      <c r="E524" s="60" t="s">
        <v>245</v>
      </c>
      <c r="F524" s="61" t="n">
        <v>5.8</v>
      </c>
      <c r="G524" s="61" t="n">
        <v>5.8</v>
      </c>
      <c r="H524" s="60" t="n">
        <v>19</v>
      </c>
      <c r="I524" s="62" t="n">
        <f aca="false">IFERROR(F524*H524,"")</f>
        <v>110.2</v>
      </c>
      <c r="J524" s="60" t="n">
        <v>2.1</v>
      </c>
      <c r="K524" s="62" t="n">
        <f aca="false">IFERROR((F524-J524)*H524,"")</f>
        <v>70.3</v>
      </c>
      <c r="L524" s="63" t="n">
        <f aca="false">IFERROR(IF(F524&gt;0,LN(F524),""),"")</f>
        <v>1.75785791755237</v>
      </c>
      <c r="M524" s="63" t="n">
        <f aca="false">IFERROR(IF(H524&gt;0,LN(H524),""),"")</f>
        <v>2.94443897916644</v>
      </c>
    </row>
    <row r="525" customFormat="false" ht="15" hidden="false" customHeight="true" outlineLevel="0" collapsed="false">
      <c r="A525" s="60" t="n">
        <v>70</v>
      </c>
      <c r="B525" s="60" t="n">
        <v>7</v>
      </c>
      <c r="C525" s="60" t="s">
        <v>250</v>
      </c>
      <c r="D525" s="60" t="s">
        <v>84</v>
      </c>
      <c r="E525" s="60" t="s">
        <v>245</v>
      </c>
      <c r="F525" s="61" t="n">
        <v>5.8</v>
      </c>
      <c r="G525" s="61" t="n">
        <v>5.8</v>
      </c>
      <c r="H525" s="60" t="n">
        <v>15</v>
      </c>
      <c r="I525" s="62" t="n">
        <f aca="false">IFERROR(F525*H525,"")</f>
        <v>87</v>
      </c>
      <c r="J525" s="60" t="n">
        <v>2.1</v>
      </c>
      <c r="K525" s="62" t="n">
        <f aca="false">IFERROR((F525-J525)*H525,"")</f>
        <v>55.5</v>
      </c>
      <c r="L525" s="63" t="n">
        <f aca="false">IFERROR(IF(F525&gt;0,LN(F525),""),"")</f>
        <v>1.75785791755237</v>
      </c>
      <c r="M525" s="63" t="n">
        <f aca="false">IFERROR(IF(H525&gt;0,LN(H525),""),"")</f>
        <v>2.70805020110221</v>
      </c>
    </row>
    <row r="526" customFormat="false" ht="15" hidden="false" customHeight="true" outlineLevel="0" collapsed="false">
      <c r="A526" s="60" t="n">
        <v>71</v>
      </c>
      <c r="B526" s="60" t="n">
        <v>1</v>
      </c>
      <c r="C526" s="60" t="s">
        <v>250</v>
      </c>
      <c r="D526" s="60" t="s">
        <v>84</v>
      </c>
      <c r="E526" s="60" t="s">
        <v>245</v>
      </c>
      <c r="F526" s="61" t="n">
        <v>5.22</v>
      </c>
      <c r="G526" s="61" t="n">
        <v>5.8</v>
      </c>
      <c r="H526" s="60" t="n">
        <v>17</v>
      </c>
      <c r="I526" s="62" t="n">
        <f aca="false">IFERROR(F526*H526,"")</f>
        <v>88.74</v>
      </c>
      <c r="J526" s="60" t="n">
        <v>2.1</v>
      </c>
      <c r="K526" s="62" t="n">
        <f aca="false">IFERROR((F526-J526)*H526,"")</f>
        <v>53.04</v>
      </c>
      <c r="L526" s="63" t="n">
        <f aca="false">IFERROR(IF(F526&gt;0,LN(F526),""),"")</f>
        <v>1.65249740189455</v>
      </c>
      <c r="M526" s="63" t="n">
        <f aca="false">IFERROR(IF(H526&gt;0,LN(H526),""),"")</f>
        <v>2.83321334405622</v>
      </c>
    </row>
    <row r="527" customFormat="false" ht="15" hidden="false" customHeight="true" outlineLevel="0" collapsed="false">
      <c r="A527" s="60" t="n">
        <v>72</v>
      </c>
      <c r="B527" s="60" t="n">
        <v>2</v>
      </c>
      <c r="C527" s="60" t="s">
        <v>250</v>
      </c>
      <c r="D527" s="60" t="s">
        <v>84</v>
      </c>
      <c r="E527" s="60" t="s">
        <v>245</v>
      </c>
      <c r="F527" s="61" t="n">
        <v>5.22</v>
      </c>
      <c r="G527" s="61" t="n">
        <v>5.8</v>
      </c>
      <c r="H527" s="60" t="n">
        <v>13</v>
      </c>
      <c r="I527" s="62" t="n">
        <f aca="false">IFERROR(F527*H527,"")</f>
        <v>67.86</v>
      </c>
      <c r="J527" s="60" t="n">
        <v>2.1</v>
      </c>
      <c r="K527" s="62" t="n">
        <f aca="false">IFERROR((F527-J527)*H527,"")</f>
        <v>40.56</v>
      </c>
      <c r="L527" s="63" t="n">
        <f aca="false">IFERROR(IF(F527&gt;0,LN(F527),""),"")</f>
        <v>1.65249740189455</v>
      </c>
      <c r="M527" s="63" t="n">
        <f aca="false">IFERROR(IF(H527&gt;0,LN(H527),""),"")</f>
        <v>2.56494935746154</v>
      </c>
    </row>
    <row r="528" customFormat="false" ht="15" hidden="false" customHeight="true" outlineLevel="0" collapsed="false">
      <c r="A528" s="60" t="n">
        <v>73</v>
      </c>
      <c r="B528" s="60" t="n">
        <v>3</v>
      </c>
      <c r="C528" s="60" t="s">
        <v>250</v>
      </c>
      <c r="D528" s="60" t="s">
        <v>84</v>
      </c>
      <c r="E528" s="60" t="s">
        <v>245</v>
      </c>
      <c r="F528" s="61" t="n">
        <v>5.8</v>
      </c>
      <c r="G528" s="61" t="n">
        <v>5.8</v>
      </c>
      <c r="H528" s="60" t="n">
        <v>16</v>
      </c>
      <c r="I528" s="62" t="n">
        <f aca="false">IFERROR(F528*H528,"")</f>
        <v>92.8</v>
      </c>
      <c r="J528" s="60" t="n">
        <v>2.1</v>
      </c>
      <c r="K528" s="62" t="n">
        <f aca="false">IFERROR((F528-J528)*H528,"")</f>
        <v>59.2</v>
      </c>
      <c r="L528" s="63" t="n">
        <f aca="false">IFERROR(IF(F528&gt;0,LN(F528),""),"")</f>
        <v>1.75785791755237</v>
      </c>
      <c r="M528" s="63" t="n">
        <f aca="false">IFERROR(IF(H528&gt;0,LN(H528),""),"")</f>
        <v>2.77258872223978</v>
      </c>
    </row>
    <row r="529" customFormat="false" ht="15" hidden="false" customHeight="true" outlineLevel="0" collapsed="false">
      <c r="A529" s="60" t="n">
        <v>74</v>
      </c>
      <c r="B529" s="60" t="n">
        <v>4</v>
      </c>
      <c r="C529" s="60" t="s">
        <v>250</v>
      </c>
      <c r="D529" s="60" t="s">
        <v>84</v>
      </c>
      <c r="E529" s="60" t="s">
        <v>245</v>
      </c>
      <c r="F529" s="61" t="n">
        <v>5.22</v>
      </c>
      <c r="G529" s="61" t="n">
        <v>5.8</v>
      </c>
      <c r="H529" s="60" t="n">
        <v>18</v>
      </c>
      <c r="I529" s="62" t="n">
        <f aca="false">IFERROR(F529*H529,"")</f>
        <v>93.96</v>
      </c>
      <c r="J529" s="60" t="n">
        <v>2.1</v>
      </c>
      <c r="K529" s="62" t="n">
        <f aca="false">IFERROR((F529-J529)*H529,"")</f>
        <v>56.16</v>
      </c>
      <c r="L529" s="63" t="n">
        <f aca="false">IFERROR(IF(F529&gt;0,LN(F529),""),"")</f>
        <v>1.65249740189455</v>
      </c>
      <c r="M529" s="63" t="n">
        <f aca="false">IFERROR(IF(H529&gt;0,LN(H529),""),"")</f>
        <v>2.89037175789616</v>
      </c>
    </row>
    <row r="530" customFormat="false" ht="15" hidden="false" customHeight="true" outlineLevel="0" collapsed="false">
      <c r="A530" s="60" t="n">
        <v>75</v>
      </c>
      <c r="B530" s="60" t="n">
        <v>5</v>
      </c>
      <c r="C530" s="60" t="s">
        <v>250</v>
      </c>
      <c r="D530" s="60" t="s">
        <v>84</v>
      </c>
      <c r="E530" s="60" t="s">
        <v>245</v>
      </c>
      <c r="F530" s="61" t="n">
        <v>5.22</v>
      </c>
      <c r="G530" s="61" t="n">
        <v>5.8</v>
      </c>
      <c r="H530" s="60" t="n">
        <v>16</v>
      </c>
      <c r="I530" s="62" t="n">
        <f aca="false">IFERROR(F530*H530,"")</f>
        <v>83.52</v>
      </c>
      <c r="J530" s="60" t="n">
        <v>2.1</v>
      </c>
      <c r="K530" s="62" t="n">
        <f aca="false">IFERROR((F530-J530)*H530,"")</f>
        <v>49.92</v>
      </c>
      <c r="L530" s="63" t="n">
        <f aca="false">IFERROR(IF(F530&gt;0,LN(F530),""),"")</f>
        <v>1.65249740189455</v>
      </c>
      <c r="M530" s="63" t="n">
        <f aca="false">IFERROR(IF(H530&gt;0,LN(H530),""),"")</f>
        <v>2.77258872223978</v>
      </c>
    </row>
    <row r="531" customFormat="false" ht="15" hidden="false" customHeight="true" outlineLevel="0" collapsed="false">
      <c r="A531" s="60" t="n">
        <v>76</v>
      </c>
      <c r="B531" s="60" t="n">
        <v>6</v>
      </c>
      <c r="C531" s="60" t="s">
        <v>250</v>
      </c>
      <c r="D531" s="60" t="s">
        <v>84</v>
      </c>
      <c r="E531" s="60" t="s">
        <v>245</v>
      </c>
      <c r="F531" s="61" t="n">
        <v>5.8</v>
      </c>
      <c r="G531" s="61" t="n">
        <v>5.8</v>
      </c>
      <c r="H531" s="60" t="n">
        <v>16</v>
      </c>
      <c r="I531" s="62" t="n">
        <f aca="false">IFERROR(F531*H531,"")</f>
        <v>92.8</v>
      </c>
      <c r="J531" s="60" t="n">
        <v>2.1</v>
      </c>
      <c r="K531" s="62" t="n">
        <f aca="false">IFERROR((F531-J531)*H531,"")</f>
        <v>59.2</v>
      </c>
      <c r="L531" s="63" t="n">
        <f aca="false">IFERROR(IF(F531&gt;0,LN(F531),""),"")</f>
        <v>1.75785791755237</v>
      </c>
      <c r="M531" s="63" t="n">
        <f aca="false">IFERROR(IF(H531&gt;0,LN(H531),""),"")</f>
        <v>2.77258872223978</v>
      </c>
    </row>
    <row r="532" customFormat="false" ht="15" hidden="false" customHeight="true" outlineLevel="0" collapsed="false">
      <c r="A532" s="60" t="n">
        <v>77</v>
      </c>
      <c r="B532" s="60" t="n">
        <v>7</v>
      </c>
      <c r="C532" s="60" t="s">
        <v>250</v>
      </c>
      <c r="D532" s="60" t="s">
        <v>84</v>
      </c>
      <c r="E532" s="60" t="s">
        <v>245</v>
      </c>
      <c r="F532" s="61" t="n">
        <v>5.8</v>
      </c>
      <c r="G532" s="61" t="n">
        <v>5.8</v>
      </c>
      <c r="H532" s="60" t="n">
        <v>14</v>
      </c>
      <c r="I532" s="62" t="n">
        <f aca="false">IFERROR(F532*H532,"")</f>
        <v>81.2</v>
      </c>
      <c r="J532" s="60" t="n">
        <v>2.1</v>
      </c>
      <c r="K532" s="62" t="n">
        <f aca="false">IFERROR((F532-J532)*H532,"")</f>
        <v>51.8</v>
      </c>
      <c r="L532" s="63" t="n">
        <f aca="false">IFERROR(IF(F532&gt;0,LN(F532),""),"")</f>
        <v>1.75785791755237</v>
      </c>
      <c r="M532" s="63" t="n">
        <f aca="false">IFERROR(IF(H532&gt;0,LN(H532),""),"")</f>
        <v>2.63905732961526</v>
      </c>
    </row>
    <row r="533" customFormat="false" ht="15" hidden="false" customHeight="true" outlineLevel="0" collapsed="false">
      <c r="A533" s="60" t="n">
        <v>78</v>
      </c>
      <c r="B533" s="60" t="n">
        <v>1</v>
      </c>
      <c r="C533" s="60" t="s">
        <v>250</v>
      </c>
      <c r="D533" s="60" t="s">
        <v>84</v>
      </c>
      <c r="E533" s="60" t="s">
        <v>245</v>
      </c>
      <c r="F533" s="61" t="n">
        <v>5.8</v>
      </c>
      <c r="G533" s="61" t="n">
        <v>5.8</v>
      </c>
      <c r="H533" s="60" t="n">
        <v>16</v>
      </c>
      <c r="I533" s="62" t="n">
        <f aca="false">IFERROR(F533*H533,"")</f>
        <v>92.8</v>
      </c>
      <c r="J533" s="60" t="n">
        <v>2.1</v>
      </c>
      <c r="K533" s="62" t="n">
        <f aca="false">IFERROR((F533-J533)*H533,"")</f>
        <v>59.2</v>
      </c>
      <c r="L533" s="63" t="n">
        <f aca="false">IFERROR(IF(F533&gt;0,LN(F533),""),"")</f>
        <v>1.75785791755237</v>
      </c>
      <c r="M533" s="63" t="n">
        <f aca="false">IFERROR(IF(H533&gt;0,LN(H533),""),"")</f>
        <v>2.77258872223978</v>
      </c>
    </row>
    <row r="534" customFormat="false" ht="15" hidden="false" customHeight="true" outlineLevel="0" collapsed="false">
      <c r="A534" s="60" t="n">
        <v>79</v>
      </c>
      <c r="B534" s="60" t="n">
        <v>2</v>
      </c>
      <c r="C534" s="60" t="s">
        <v>250</v>
      </c>
      <c r="D534" s="60" t="s">
        <v>84</v>
      </c>
      <c r="E534" s="60" t="s">
        <v>245</v>
      </c>
      <c r="F534" s="61" t="n">
        <v>6.09</v>
      </c>
      <c r="G534" s="61" t="n">
        <v>5.8</v>
      </c>
      <c r="H534" s="60" t="n">
        <v>14</v>
      </c>
      <c r="I534" s="62" t="n">
        <f aca="false">IFERROR(F534*H534,"")</f>
        <v>85.26</v>
      </c>
      <c r="J534" s="60" t="n">
        <v>2.1</v>
      </c>
      <c r="K534" s="62" t="n">
        <f aca="false">IFERROR((F534-J534)*H534,"")</f>
        <v>55.86</v>
      </c>
      <c r="L534" s="63" t="n">
        <f aca="false">IFERROR(IF(F534&gt;0,LN(F534),""),"")</f>
        <v>1.80664808172181</v>
      </c>
      <c r="M534" s="63" t="n">
        <f aca="false">IFERROR(IF(H534&gt;0,LN(H534),""),"")</f>
        <v>2.63905732961526</v>
      </c>
    </row>
    <row r="535" customFormat="false" ht="15" hidden="false" customHeight="true" outlineLevel="0" collapsed="false">
      <c r="A535" s="60" t="n">
        <v>80</v>
      </c>
      <c r="B535" s="60" t="n">
        <v>3</v>
      </c>
      <c r="C535" s="60" t="s">
        <v>250</v>
      </c>
      <c r="D535" s="60" t="s">
        <v>84</v>
      </c>
      <c r="E535" s="60" t="s">
        <v>245</v>
      </c>
      <c r="F535" s="61" t="n">
        <v>5.51</v>
      </c>
      <c r="G535" s="61" t="n">
        <v>5.8</v>
      </c>
      <c r="H535" s="60" t="n">
        <v>14</v>
      </c>
      <c r="I535" s="62" t="n">
        <f aca="false">IFERROR(F535*H535,"")</f>
        <v>77.14</v>
      </c>
      <c r="J535" s="60" t="n">
        <v>2.1</v>
      </c>
      <c r="K535" s="62" t="n">
        <f aca="false">IFERROR((F535-J535)*H535,"")</f>
        <v>47.74</v>
      </c>
      <c r="L535" s="63" t="n">
        <f aca="false">IFERROR(IF(F535&gt;0,LN(F535),""),"")</f>
        <v>1.70656462316482</v>
      </c>
      <c r="M535" s="63" t="n">
        <f aca="false">IFERROR(IF(H535&gt;0,LN(H535),""),"")</f>
        <v>2.63905732961526</v>
      </c>
    </row>
    <row r="536" customFormat="false" ht="15" hidden="false" customHeight="true" outlineLevel="0" collapsed="false">
      <c r="A536" s="60" t="n">
        <v>81</v>
      </c>
      <c r="B536" s="60" t="n">
        <v>4</v>
      </c>
      <c r="C536" s="60" t="s">
        <v>250</v>
      </c>
      <c r="D536" s="60" t="s">
        <v>84</v>
      </c>
      <c r="E536" s="60" t="s">
        <v>245</v>
      </c>
      <c r="F536" s="61" t="n">
        <v>5.22</v>
      </c>
      <c r="G536" s="61" t="n">
        <v>5.8</v>
      </c>
      <c r="H536" s="60" t="n">
        <v>15</v>
      </c>
      <c r="I536" s="62" t="n">
        <f aca="false">IFERROR(F536*H536,"")</f>
        <v>78.3</v>
      </c>
      <c r="J536" s="60" t="n">
        <v>2.1</v>
      </c>
      <c r="K536" s="62" t="n">
        <f aca="false">IFERROR((F536-J536)*H536,"")</f>
        <v>46.8</v>
      </c>
      <c r="L536" s="63" t="n">
        <f aca="false">IFERROR(IF(F536&gt;0,LN(F536),""),"")</f>
        <v>1.65249740189455</v>
      </c>
      <c r="M536" s="63" t="n">
        <f aca="false">IFERROR(IF(H536&gt;0,LN(H536),""),"")</f>
        <v>2.70805020110221</v>
      </c>
    </row>
    <row r="537" customFormat="false" ht="15" hidden="false" customHeight="true" outlineLevel="0" collapsed="false">
      <c r="A537" s="60" t="n">
        <v>82</v>
      </c>
      <c r="B537" s="60" t="n">
        <v>5</v>
      </c>
      <c r="C537" s="60" t="s">
        <v>250</v>
      </c>
      <c r="D537" s="60" t="s">
        <v>84</v>
      </c>
      <c r="E537" s="60" t="s">
        <v>245</v>
      </c>
      <c r="F537" s="61" t="n">
        <v>6.38</v>
      </c>
      <c r="G537" s="61" t="n">
        <v>5.8</v>
      </c>
      <c r="H537" s="60" t="n">
        <v>13</v>
      </c>
      <c r="I537" s="62" t="n">
        <f aca="false">IFERROR(F537*H537,"")</f>
        <v>82.94</v>
      </c>
      <c r="J537" s="60" t="n">
        <v>2.1</v>
      </c>
      <c r="K537" s="62" t="n">
        <f aca="false">IFERROR((F537-J537)*H537,"")</f>
        <v>55.64</v>
      </c>
      <c r="L537" s="63" t="n">
        <f aca="false">IFERROR(IF(F537&gt;0,LN(F537),""),"")</f>
        <v>1.8531680973567</v>
      </c>
      <c r="M537" s="63" t="n">
        <f aca="false">IFERROR(IF(H537&gt;0,LN(H537),""),"")</f>
        <v>2.56494935746154</v>
      </c>
    </row>
    <row r="538" customFormat="false" ht="15" hidden="false" customHeight="true" outlineLevel="0" collapsed="false">
      <c r="A538" s="60" t="n">
        <v>83</v>
      </c>
      <c r="B538" s="60" t="n">
        <v>6</v>
      </c>
      <c r="C538" s="60" t="s">
        <v>250</v>
      </c>
      <c r="D538" s="60" t="s">
        <v>84</v>
      </c>
      <c r="E538" s="60" t="s">
        <v>245</v>
      </c>
      <c r="F538" s="61" t="n">
        <v>5.51</v>
      </c>
      <c r="G538" s="61" t="n">
        <v>5.8</v>
      </c>
      <c r="H538" s="60" t="n">
        <v>13</v>
      </c>
      <c r="I538" s="62" t="n">
        <f aca="false">IFERROR(F538*H538,"")</f>
        <v>71.63</v>
      </c>
      <c r="J538" s="60" t="n">
        <v>2.1</v>
      </c>
      <c r="K538" s="62" t="n">
        <f aca="false">IFERROR((F538-J538)*H538,"")</f>
        <v>44.33</v>
      </c>
      <c r="L538" s="63" t="n">
        <f aca="false">IFERROR(IF(F538&gt;0,LN(F538),""),"")</f>
        <v>1.70656462316482</v>
      </c>
      <c r="M538" s="63" t="n">
        <f aca="false">IFERROR(IF(H538&gt;0,LN(H538),""),"")</f>
        <v>2.56494935746154</v>
      </c>
    </row>
    <row r="539" customFormat="false" ht="15" hidden="false" customHeight="true" outlineLevel="0" collapsed="false">
      <c r="A539" s="60" t="n">
        <v>84</v>
      </c>
      <c r="B539" s="60" t="n">
        <v>7</v>
      </c>
      <c r="C539" s="60" t="s">
        <v>250</v>
      </c>
      <c r="D539" s="60" t="s">
        <v>84</v>
      </c>
      <c r="E539" s="60" t="s">
        <v>245</v>
      </c>
      <c r="F539" s="61" t="n">
        <v>5.51</v>
      </c>
      <c r="G539" s="61" t="n">
        <v>5.8</v>
      </c>
      <c r="H539" s="60" t="n">
        <v>16</v>
      </c>
      <c r="I539" s="62" t="n">
        <f aca="false">IFERROR(F539*H539,"")</f>
        <v>88.16</v>
      </c>
      <c r="J539" s="60" t="n">
        <v>2.1</v>
      </c>
      <c r="K539" s="62" t="n">
        <f aca="false">IFERROR((F539-J539)*H539,"")</f>
        <v>54.56</v>
      </c>
      <c r="L539" s="63" t="n">
        <f aca="false">IFERROR(IF(F539&gt;0,LN(F539),""),"")</f>
        <v>1.70656462316482</v>
      </c>
      <c r="M539" s="63" t="n">
        <f aca="false">IFERROR(IF(H539&gt;0,LN(H539),""),"")</f>
        <v>2.77258872223978</v>
      </c>
    </row>
    <row r="540" customFormat="false" ht="15" hidden="false" customHeight="true" outlineLevel="0" collapsed="false">
      <c r="A540" s="60" t="n">
        <v>85</v>
      </c>
      <c r="B540" s="60" t="n">
        <v>1</v>
      </c>
      <c r="C540" s="60" t="s">
        <v>250</v>
      </c>
      <c r="D540" s="60" t="s">
        <v>84</v>
      </c>
      <c r="E540" s="60" t="s">
        <v>245</v>
      </c>
      <c r="F540" s="61" t="n">
        <v>5.8</v>
      </c>
      <c r="G540" s="61" t="n">
        <v>5.8</v>
      </c>
      <c r="H540" s="60" t="n">
        <v>13</v>
      </c>
      <c r="I540" s="62" t="n">
        <f aca="false">IFERROR(F540*H540,"")</f>
        <v>75.4</v>
      </c>
      <c r="J540" s="60" t="n">
        <v>2.1</v>
      </c>
      <c r="K540" s="62" t="n">
        <f aca="false">IFERROR((F540-J540)*H540,"")</f>
        <v>48.1</v>
      </c>
      <c r="L540" s="63" t="n">
        <f aca="false">IFERROR(IF(F540&gt;0,LN(F540),""),"")</f>
        <v>1.75785791755237</v>
      </c>
      <c r="M540" s="63" t="n">
        <f aca="false">IFERROR(IF(H540&gt;0,LN(H540),""),"")</f>
        <v>2.56494935746154</v>
      </c>
    </row>
    <row r="541" customFormat="false" ht="15" hidden="false" customHeight="true" outlineLevel="0" collapsed="false">
      <c r="A541" s="60" t="n">
        <v>86</v>
      </c>
      <c r="B541" s="60" t="n">
        <v>2</v>
      </c>
      <c r="C541" s="60" t="s">
        <v>250</v>
      </c>
      <c r="D541" s="60" t="s">
        <v>84</v>
      </c>
      <c r="E541" s="60" t="s">
        <v>245</v>
      </c>
      <c r="F541" s="61" t="n">
        <v>6.38</v>
      </c>
      <c r="G541" s="61" t="n">
        <v>5.8</v>
      </c>
      <c r="H541" s="60" t="n">
        <v>12</v>
      </c>
      <c r="I541" s="62" t="n">
        <f aca="false">IFERROR(F541*H541,"")</f>
        <v>76.56</v>
      </c>
      <c r="J541" s="60" t="n">
        <v>2.1</v>
      </c>
      <c r="K541" s="62" t="n">
        <f aca="false">IFERROR((F541-J541)*H541,"")</f>
        <v>51.36</v>
      </c>
      <c r="L541" s="63" t="n">
        <f aca="false">IFERROR(IF(F541&gt;0,LN(F541),""),"")</f>
        <v>1.8531680973567</v>
      </c>
      <c r="M541" s="63" t="n">
        <f aca="false">IFERROR(IF(H541&gt;0,LN(H541),""),"")</f>
        <v>2.484906649788</v>
      </c>
    </row>
    <row r="542" customFormat="false" ht="15" hidden="false" customHeight="true" outlineLevel="0" collapsed="false">
      <c r="A542" s="60" t="n">
        <v>87</v>
      </c>
      <c r="B542" s="60" t="n">
        <v>3</v>
      </c>
      <c r="C542" s="60" t="s">
        <v>250</v>
      </c>
      <c r="D542" s="60" t="s">
        <v>84</v>
      </c>
      <c r="E542" s="60" t="s">
        <v>245</v>
      </c>
      <c r="F542" s="61" t="n">
        <v>5.22</v>
      </c>
      <c r="G542" s="61" t="n">
        <v>5.8</v>
      </c>
      <c r="H542" s="60" t="n">
        <v>19</v>
      </c>
      <c r="I542" s="62" t="n">
        <f aca="false">IFERROR(F542*H542,"")</f>
        <v>99.18</v>
      </c>
      <c r="J542" s="60" t="n">
        <v>2.1</v>
      </c>
      <c r="K542" s="62" t="n">
        <f aca="false">IFERROR((F542-J542)*H542,"")</f>
        <v>59.28</v>
      </c>
      <c r="L542" s="63" t="n">
        <f aca="false">IFERROR(IF(F542&gt;0,LN(F542),""),"")</f>
        <v>1.65249740189455</v>
      </c>
      <c r="M542" s="63" t="n">
        <f aca="false">IFERROR(IF(H542&gt;0,LN(H542),""),"")</f>
        <v>2.94443897916644</v>
      </c>
    </row>
    <row r="543" customFormat="false" ht="15" hidden="false" customHeight="true" outlineLevel="0" collapsed="false">
      <c r="A543" s="60" t="n">
        <v>88</v>
      </c>
      <c r="B543" s="60" t="n">
        <v>4</v>
      </c>
      <c r="C543" s="60" t="s">
        <v>250</v>
      </c>
      <c r="D543" s="60" t="s">
        <v>84</v>
      </c>
      <c r="E543" s="60" t="s">
        <v>245</v>
      </c>
      <c r="F543" s="61" t="n">
        <v>5.8</v>
      </c>
      <c r="G543" s="61" t="n">
        <v>5.8</v>
      </c>
      <c r="H543" s="60" t="n">
        <v>14</v>
      </c>
      <c r="I543" s="62" t="n">
        <f aca="false">IFERROR(F543*H543,"")</f>
        <v>81.2</v>
      </c>
      <c r="J543" s="60" t="n">
        <v>2.1</v>
      </c>
      <c r="K543" s="62" t="n">
        <f aca="false">IFERROR((F543-J543)*H543,"")</f>
        <v>51.8</v>
      </c>
      <c r="L543" s="63" t="n">
        <f aca="false">IFERROR(IF(F543&gt;0,LN(F543),""),"")</f>
        <v>1.75785791755237</v>
      </c>
      <c r="M543" s="63" t="n">
        <f aca="false">IFERROR(IF(H543&gt;0,LN(H543),""),"")</f>
        <v>2.63905732961526</v>
      </c>
    </row>
    <row r="544" customFormat="false" ht="15" hidden="false" customHeight="true" outlineLevel="0" collapsed="false">
      <c r="A544" s="60" t="n">
        <v>89</v>
      </c>
      <c r="B544" s="60" t="n">
        <v>5</v>
      </c>
      <c r="C544" s="60" t="s">
        <v>250</v>
      </c>
      <c r="D544" s="60" t="s">
        <v>84</v>
      </c>
      <c r="E544" s="60" t="s">
        <v>245</v>
      </c>
      <c r="F544" s="61" t="n">
        <v>6.38</v>
      </c>
      <c r="G544" s="61" t="n">
        <v>5.8</v>
      </c>
      <c r="H544" s="60" t="n">
        <v>13</v>
      </c>
      <c r="I544" s="62" t="n">
        <f aca="false">IFERROR(F544*H544,"")</f>
        <v>82.94</v>
      </c>
      <c r="J544" s="60" t="n">
        <v>2.1</v>
      </c>
      <c r="K544" s="62" t="n">
        <f aca="false">IFERROR((F544-J544)*H544,"")</f>
        <v>55.64</v>
      </c>
      <c r="L544" s="63" t="n">
        <f aca="false">IFERROR(IF(F544&gt;0,LN(F544),""),"")</f>
        <v>1.8531680973567</v>
      </c>
      <c r="M544" s="63" t="n">
        <f aca="false">IFERROR(IF(H544&gt;0,LN(H544),""),"")</f>
        <v>2.56494935746154</v>
      </c>
    </row>
    <row r="545" customFormat="false" ht="15" hidden="false" customHeight="true" outlineLevel="0" collapsed="false">
      <c r="A545" s="60" t="n">
        <v>90</v>
      </c>
      <c r="B545" s="60" t="n">
        <v>6</v>
      </c>
      <c r="C545" s="60" t="s">
        <v>250</v>
      </c>
      <c r="D545" s="60" t="s">
        <v>84</v>
      </c>
      <c r="E545" s="60" t="s">
        <v>245</v>
      </c>
      <c r="F545" s="61" t="n">
        <v>5.8</v>
      </c>
      <c r="G545" s="61" t="n">
        <v>5.8</v>
      </c>
      <c r="H545" s="60" t="n">
        <v>15</v>
      </c>
      <c r="I545" s="62" t="n">
        <f aca="false">IFERROR(F545*H545,"")</f>
        <v>87</v>
      </c>
      <c r="J545" s="60" t="n">
        <v>2.1</v>
      </c>
      <c r="K545" s="62" t="n">
        <f aca="false">IFERROR((F545-J545)*H545,"")</f>
        <v>55.5</v>
      </c>
      <c r="L545" s="63" t="n">
        <f aca="false">IFERROR(IF(F545&gt;0,LN(F545),""),"")</f>
        <v>1.75785791755237</v>
      </c>
      <c r="M545" s="63" t="n">
        <f aca="false">IFERROR(IF(H545&gt;0,LN(H545),""),"")</f>
        <v>2.70805020110221</v>
      </c>
    </row>
  </sheetData>
  <mergeCells count="2">
    <mergeCell ref="A1:J1"/>
    <mergeCell ref="A3:M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A1:R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8"/>
    <col collapsed="false" customWidth="true" hidden="false" outlineLevel="0" max="5" min="4" style="1" width="11"/>
    <col collapsed="false" customWidth="true" hidden="false" outlineLevel="0" max="6" min="6" style="1" width="13"/>
    <col collapsed="false" customWidth="true" hidden="false" outlineLevel="0" max="7" min="7" style="1" width="11"/>
    <col collapsed="false" customWidth="true" hidden="false" outlineLevel="0" max="9" min="8" style="1" width="12"/>
    <col collapsed="false" customWidth="true" hidden="false" outlineLevel="0" max="10" min="10" style="1" width="13"/>
    <col collapsed="false" customWidth="true" hidden="false" outlineLevel="0" max="11" min="11" style="1" width="36"/>
    <col collapsed="false" customWidth="true" hidden="false" outlineLevel="0" max="12" min="12" style="1" width="12"/>
    <col collapsed="false" customWidth="true" hidden="false" outlineLevel="0" max="13" min="13" style="1" width="3"/>
    <col collapsed="false" customWidth="true" hidden="false" outlineLevel="0" max="18" min="14" style="1" width="11"/>
  </cols>
  <sheetData>
    <row r="1" customFormat="false" ht="25.5" hidden="false" customHeight="true" outlineLevel="0" collapsed="false">
      <c r="A1" s="2" t="s">
        <v>251</v>
      </c>
      <c r="B1" s="2"/>
      <c r="C1" s="2"/>
      <c r="D1" s="2"/>
      <c r="E1" s="2"/>
      <c r="F1" s="2"/>
      <c r="G1" s="2"/>
      <c r="H1" s="2"/>
      <c r="I1" s="2"/>
      <c r="J1" s="2"/>
      <c r="K1" s="2"/>
      <c r="L1" s="2"/>
    </row>
    <row r="3" customFormat="false" ht="55.5" hidden="false" customHeight="true" outlineLevel="0" collapsed="false">
      <c r="A3" s="13" t="s">
        <v>252</v>
      </c>
      <c r="B3" s="13"/>
      <c r="C3" s="13"/>
      <c r="D3" s="13"/>
      <c r="E3" s="13"/>
      <c r="F3" s="13"/>
      <c r="G3" s="13"/>
      <c r="H3" s="13"/>
      <c r="I3" s="13"/>
      <c r="J3" s="13"/>
      <c r="K3" s="13"/>
      <c r="L3" s="13"/>
    </row>
    <row r="5" customFormat="false" ht="26.25" hidden="false" customHeight="true" outlineLevel="0" collapsed="false">
      <c r="A5" s="14" t="s">
        <v>59</v>
      </c>
      <c r="B5" s="14" t="s">
        <v>253</v>
      </c>
      <c r="C5" s="14" t="s">
        <v>254</v>
      </c>
      <c r="D5" s="14" t="s">
        <v>255</v>
      </c>
      <c r="E5" s="14" t="s">
        <v>256</v>
      </c>
      <c r="F5" s="14" t="s">
        <v>257</v>
      </c>
      <c r="G5" s="14" t="s">
        <v>258</v>
      </c>
      <c r="H5" s="14" t="s">
        <v>259</v>
      </c>
      <c r="I5" s="14" t="s">
        <v>260</v>
      </c>
      <c r="J5" s="14" t="s">
        <v>261</v>
      </c>
      <c r="K5" s="14" t="s">
        <v>168</v>
      </c>
      <c r="L5" s="64" t="s">
        <v>262</v>
      </c>
      <c r="N5" s="65" t="s">
        <v>263</v>
      </c>
      <c r="O5" s="65" t="s">
        <v>264</v>
      </c>
      <c r="P5" s="65" t="s">
        <v>265</v>
      </c>
      <c r="Q5" s="65" t="s">
        <v>266</v>
      </c>
      <c r="R5" s="65" t="s">
        <v>267</v>
      </c>
    </row>
    <row r="6" customFormat="false" ht="23.25" hidden="false" customHeight="true" outlineLevel="0" collapsed="false">
      <c r="A6" s="15" t="n">
        <v>1</v>
      </c>
      <c r="B6" s="41" t="str">
        <f aca="false">IF(OWNER_INPUTS!B6="","",OWNER_INPUTS!B6)</f>
        <v>Flat White</v>
      </c>
      <c r="C6" s="66" t="n">
        <f aca="false">IFERROR(IF($B6="","",SUMPRODUCT((sd_item=$B6)*((sd_sample="N") + (sd_sample="Y")*(cfg_use_sample="Yes"))*(sd_qty&gt;0))),"")</f>
        <v>0</v>
      </c>
      <c r="D6" s="67" t="str">
        <f aca="false">IFERROR(IF(OR($B6="",$C6=0,$C6=""),"",SUMPRODUCT((sd_item=$B6)*((sd_sample="N") + (sd_sample="Y")*(cfg_use_sample="Yes"))*SALES_DATA!$F$6:$F$545)/$C6),"")</f>
        <v/>
      </c>
      <c r="E6" s="68" t="str">
        <f aca="false">IFERROR(IF(OR($B6="",$C6=0,$C6=""),"",SUMPRODUCT((sd_item=$B6)*((sd_sample="N") + (sd_sample="Y")*(cfg_use_sample="Yes"))*sd_qty)/$C6),"")</f>
        <v/>
      </c>
      <c r="F6" s="69" t="str">
        <f aca="false">IFERROR(IF(OR($B6="",$C6&lt;10,NOT(ISNUMBER($P6)),$P6=0),"",$Q6/$P6),"")</f>
        <v/>
      </c>
      <c r="G6" s="69" t="str">
        <f aca="false">IFERROR(IF(OR(NOT(ISNUMBER($F6)),$C6&lt;3,$P6=0,NOT(ISNUMBER($R6))),"",SQRT($R6/($C6-2)/$P6)),"")</f>
        <v/>
      </c>
      <c r="H6" s="69" t="str">
        <f aca="false">IFERROR(IF(OR(NOT(ISNUMBER($F6)),NOT(ISNUMBER($G6))),"",$F6-1.96*$G6),"")</f>
        <v/>
      </c>
      <c r="I6" s="69" t="str">
        <f aca="false">IFERROR(IF(OR(NOT(ISNUMBER($F6)),NOT(ISNUMBER($G6))),"",$F6+1.96*$G6),"")</f>
        <v/>
      </c>
      <c r="J6" s="45" t="str">
        <f aca="false">IF(OR($B6="",NOT(ISNUMBER($F6))),"—",IF($C6&lt;30,"LOW",IF($I6&lt;=-1,"HIGH","MEDIUM")))</f>
        <v>—</v>
      </c>
      <c r="K6" s="70" t="str">
        <f aca="false">IF($B6="","",IF(NOT(ISNUMBER($F6)),"No matching rows in SALES_DATA — using category prior",IF($C6&lt;30,"Low sample (&lt;30 obs) — CI is wide",IF($I6&gt;-1,"CI crosses -1 — direction uncertain","OK"))))</f>
        <v>No matching rows in SALES_DATA — using category prior</v>
      </c>
      <c r="L6" s="71" t="str">
        <f aca="false">IF(ISNUMBER($F6),$F6,"")</f>
        <v/>
      </c>
      <c r="N6" s="72" t="str">
        <f aca="false">IFERROR(IF($B6="","",SUMPRODUCT((sd_item=$B6)*((sd_sample="N") + (sd_sample="Y")*(cfg_use_sample="Yes"))*sd_lnp)/SUMPRODUCT((sd_item=$B6)*((sd_sample="N") + (sd_sample="Y")*(cfg_use_sample="Yes")))),"")</f>
        <v/>
      </c>
      <c r="O6" s="72" t="str">
        <f aca="false">IFERROR(IF($B6="","",SUMPRODUCT((sd_item=$B6)*((sd_sample="N") + (sd_sample="Y")*(cfg_use_sample="Yes"))*sd_lnq)/SUMPRODUCT((sd_item=$B6)*((sd_sample="N") + (sd_sample="Y")*(cfg_use_sample="Yes")))),"")</f>
        <v/>
      </c>
      <c r="P6" s="72" t="str">
        <f aca="false">IFERROR(IF(OR($B6="",$N6=""),"",SUMPRODUCT((sd_item=$B6)*((sd_sample="N") + (sd_sample="Y")*(cfg_use_sample="Yes"))*(sd_lnp-$N6)^2)),"")</f>
        <v/>
      </c>
      <c r="Q6" s="72" t="str">
        <f aca="false">IFERROR(IF(OR($B6="",$N6=""),"",SUMPRODUCT((sd_item=$B6)*((sd_sample="N") + (sd_sample="Y")*(cfg_use_sample="Yes"))*(sd_lnp-$N6)*(sd_lnq-$O6))),"")</f>
        <v/>
      </c>
      <c r="R6" s="72" t="str">
        <f aca="false">IFERROR(IF(OR($B6="",$F6="",$F6=0,NOT(ISNUMBER($F6))),"",SUMPRODUCT((sd_item=$B6)*((sd_sample="N") + (sd_sample="Y")*(cfg_use_sample="Yes"))*(sd_lnq-$O6-$F6*(sd_lnp-$N6))^2)),"")</f>
        <v/>
      </c>
    </row>
    <row r="7" customFormat="false" ht="23.25" hidden="false" customHeight="true" outlineLevel="0" collapsed="false">
      <c r="A7" s="15" t="n">
        <v>2</v>
      </c>
      <c r="B7" s="41" t="str">
        <f aca="false">IF(OWNER_INPUTS!B7="","",OWNER_INPUTS!B7)</f>
        <v>Matcha Latte</v>
      </c>
      <c r="C7" s="66" t="n">
        <f aca="false">IFERROR(IF($B7="","",SUMPRODUCT((sd_item=$B7)*((sd_sample="N") + (sd_sample="Y")*(cfg_use_sample="Yes"))*(sd_qty&gt;0))),"")</f>
        <v>0</v>
      </c>
      <c r="D7" s="67" t="str">
        <f aca="false">IFERROR(IF(OR($B7="",$C7=0,$C7=""),"",SUMPRODUCT((sd_item=$B7)*((sd_sample="N") + (sd_sample="Y")*(cfg_use_sample="Yes"))*SALES_DATA!$F$6:$F$545)/$C7),"")</f>
        <v/>
      </c>
      <c r="E7" s="68" t="str">
        <f aca="false">IFERROR(IF(OR($B7="",$C7=0,$C7=""),"",SUMPRODUCT((sd_item=$B7)*((sd_sample="N") + (sd_sample="Y")*(cfg_use_sample="Yes"))*sd_qty)/$C7),"")</f>
        <v/>
      </c>
      <c r="F7" s="69" t="str">
        <f aca="false">IFERROR(IF(OR($B7="",$C7&lt;10,NOT(ISNUMBER($P7)),$P7=0),"",$Q7/$P7),"")</f>
        <v/>
      </c>
      <c r="G7" s="69" t="str">
        <f aca="false">IFERROR(IF(OR(NOT(ISNUMBER($F7)),$C7&lt;3,$P7=0,NOT(ISNUMBER($R7))),"",SQRT($R7/($C7-2)/$P7)),"")</f>
        <v/>
      </c>
      <c r="H7" s="69" t="str">
        <f aca="false">IFERROR(IF(OR(NOT(ISNUMBER($F7)),NOT(ISNUMBER($G7))),"",$F7-1.96*$G7),"")</f>
        <v/>
      </c>
      <c r="I7" s="69" t="str">
        <f aca="false">IFERROR(IF(OR(NOT(ISNUMBER($F7)),NOT(ISNUMBER($G7))),"",$F7+1.96*$G7),"")</f>
        <v/>
      </c>
      <c r="J7" s="45" t="str">
        <f aca="false">IF(OR($B7="",NOT(ISNUMBER($F7))),"—",IF($C7&lt;30,"LOW",IF($I7&lt;=-1,"HIGH","MEDIUM")))</f>
        <v>—</v>
      </c>
      <c r="K7" s="70" t="str">
        <f aca="false">IF($B7="","",IF(NOT(ISNUMBER($F7)),"No matching rows in SALES_DATA — using category prior",IF($C7&lt;30,"Low sample (&lt;30 obs) — CI is wide",IF($I7&gt;-1,"CI crosses -1 — direction uncertain","OK"))))</f>
        <v>No matching rows in SALES_DATA — using category prior</v>
      </c>
      <c r="L7" s="71" t="str">
        <f aca="false">IF(ISNUMBER($F7),$F7,"")</f>
        <v/>
      </c>
      <c r="N7" s="72" t="str">
        <f aca="false">IFERROR(IF($B7="","",SUMPRODUCT((sd_item=$B7)*((sd_sample="N") + (sd_sample="Y")*(cfg_use_sample="Yes"))*sd_lnp)/SUMPRODUCT((sd_item=$B7)*((sd_sample="N") + (sd_sample="Y")*(cfg_use_sample="Yes")))),"")</f>
        <v/>
      </c>
      <c r="O7" s="72" t="str">
        <f aca="false">IFERROR(IF($B7="","",SUMPRODUCT((sd_item=$B7)*((sd_sample="N") + (sd_sample="Y")*(cfg_use_sample="Yes"))*sd_lnq)/SUMPRODUCT((sd_item=$B7)*((sd_sample="N") + (sd_sample="Y")*(cfg_use_sample="Yes")))),"")</f>
        <v/>
      </c>
      <c r="P7" s="72" t="str">
        <f aca="false">IFERROR(IF(OR($B7="",$N7=""),"",SUMPRODUCT((sd_item=$B7)*((sd_sample="N") + (sd_sample="Y")*(cfg_use_sample="Yes"))*(sd_lnp-$N7)^2)),"")</f>
        <v/>
      </c>
      <c r="Q7" s="72" t="str">
        <f aca="false">IFERROR(IF(OR($B7="",$N7=""),"",SUMPRODUCT((sd_item=$B7)*((sd_sample="N") + (sd_sample="Y")*(cfg_use_sample="Yes"))*(sd_lnp-$N7)*(sd_lnq-$O7))),"")</f>
        <v/>
      </c>
      <c r="R7" s="72" t="str">
        <f aca="false">IFERROR(IF(OR($B7="",$F7="",$F7=0,NOT(ISNUMBER($F7))),"",SUMPRODUCT((sd_item=$B7)*((sd_sample="N") + (sd_sample="Y")*(cfg_use_sample="Yes"))*(sd_lnq-$O7-$F7*(sd_lnp-$N7))^2)),"")</f>
        <v/>
      </c>
    </row>
    <row r="8" customFormat="false" ht="23.25" hidden="false" customHeight="true" outlineLevel="0" collapsed="false">
      <c r="A8" s="15" t="n">
        <v>3</v>
      </c>
      <c r="B8" s="41" t="str">
        <f aca="false">IF(OWNER_INPUTS!B8="","",OWNER_INPUTS!B8)</f>
        <v>Eggs Benedict</v>
      </c>
      <c r="C8" s="66" t="n">
        <f aca="false">IFERROR(IF($B8="","",SUMPRODUCT((sd_item=$B8)*((sd_sample="N") + (sd_sample="Y")*(cfg_use_sample="Yes"))*(sd_qty&gt;0))),"")</f>
        <v>0</v>
      </c>
      <c r="D8" s="67" t="str">
        <f aca="false">IFERROR(IF(OR($B8="",$C8=0,$C8=""),"",SUMPRODUCT((sd_item=$B8)*((sd_sample="N") + (sd_sample="Y")*(cfg_use_sample="Yes"))*SALES_DATA!$F$6:$F$545)/$C8),"")</f>
        <v/>
      </c>
      <c r="E8" s="68" t="str">
        <f aca="false">IFERROR(IF(OR($B8="",$C8=0,$C8=""),"",SUMPRODUCT((sd_item=$B8)*((sd_sample="N") + (sd_sample="Y")*(cfg_use_sample="Yes"))*sd_qty)/$C8),"")</f>
        <v/>
      </c>
      <c r="F8" s="69" t="str">
        <f aca="false">IFERROR(IF(OR($B8="",$C8&lt;10,NOT(ISNUMBER($P8)),$P8=0),"",$Q8/$P8),"")</f>
        <v/>
      </c>
      <c r="G8" s="69" t="str">
        <f aca="false">IFERROR(IF(OR(NOT(ISNUMBER($F8)),$C8&lt;3,$P8=0,NOT(ISNUMBER($R8))),"",SQRT($R8/($C8-2)/$P8)),"")</f>
        <v/>
      </c>
      <c r="H8" s="69" t="str">
        <f aca="false">IFERROR(IF(OR(NOT(ISNUMBER($F8)),NOT(ISNUMBER($G8))),"",$F8-1.96*$G8),"")</f>
        <v/>
      </c>
      <c r="I8" s="69" t="str">
        <f aca="false">IFERROR(IF(OR(NOT(ISNUMBER($F8)),NOT(ISNUMBER($G8))),"",$F8+1.96*$G8),"")</f>
        <v/>
      </c>
      <c r="J8" s="45" t="str">
        <f aca="false">IF(OR($B8="",NOT(ISNUMBER($F8))),"—",IF($C8&lt;30,"LOW",IF($I8&lt;=-1,"HIGH","MEDIUM")))</f>
        <v>—</v>
      </c>
      <c r="K8" s="70" t="str">
        <f aca="false">IF($B8="","",IF(NOT(ISNUMBER($F8)),"No matching rows in SALES_DATA — using category prior",IF($C8&lt;30,"Low sample (&lt;30 obs) — CI is wide",IF($I8&gt;-1,"CI crosses -1 — direction uncertain","OK"))))</f>
        <v>No matching rows in SALES_DATA — using category prior</v>
      </c>
      <c r="L8" s="71" t="str">
        <f aca="false">IF(ISNUMBER($F8),$F8,"")</f>
        <v/>
      </c>
      <c r="N8" s="72" t="str">
        <f aca="false">IFERROR(IF($B8="","",SUMPRODUCT((sd_item=$B8)*((sd_sample="N") + (sd_sample="Y")*(cfg_use_sample="Yes"))*sd_lnp)/SUMPRODUCT((sd_item=$B8)*((sd_sample="N") + (sd_sample="Y")*(cfg_use_sample="Yes")))),"")</f>
        <v/>
      </c>
      <c r="O8" s="72" t="str">
        <f aca="false">IFERROR(IF($B8="","",SUMPRODUCT((sd_item=$B8)*((sd_sample="N") + (sd_sample="Y")*(cfg_use_sample="Yes"))*sd_lnq)/SUMPRODUCT((sd_item=$B8)*((sd_sample="N") + (sd_sample="Y")*(cfg_use_sample="Yes")))),"")</f>
        <v/>
      </c>
      <c r="P8" s="72" t="str">
        <f aca="false">IFERROR(IF(OR($B8="",$N8=""),"",SUMPRODUCT((sd_item=$B8)*((sd_sample="N") + (sd_sample="Y")*(cfg_use_sample="Yes"))*(sd_lnp-$N8)^2)),"")</f>
        <v/>
      </c>
      <c r="Q8" s="72" t="str">
        <f aca="false">IFERROR(IF(OR($B8="",$N8=""),"",SUMPRODUCT((sd_item=$B8)*((sd_sample="N") + (sd_sample="Y")*(cfg_use_sample="Yes"))*(sd_lnp-$N8)*(sd_lnq-$O8))),"")</f>
        <v/>
      </c>
      <c r="R8" s="72" t="str">
        <f aca="false">IFERROR(IF(OR($B8="",$F8="",$F8=0,NOT(ISNUMBER($F8))),"",SUMPRODUCT((sd_item=$B8)*((sd_sample="N") + (sd_sample="Y")*(cfg_use_sample="Yes"))*(sd_lnq-$O8-$F8*(sd_lnp-$N8))^2)),"")</f>
        <v/>
      </c>
    </row>
    <row r="9" customFormat="false" ht="23.25" hidden="false" customHeight="true" outlineLevel="0" collapsed="false">
      <c r="A9" s="15" t="n">
        <v>4</v>
      </c>
      <c r="B9" s="41" t="str">
        <f aca="false">IF(OWNER_INPUTS!B9="","",OWNER_INPUTS!B9)</f>
        <v>Avocado Toast</v>
      </c>
      <c r="C9" s="66" t="n">
        <f aca="false">IFERROR(IF($B9="","",SUMPRODUCT((sd_item=$B9)*((sd_sample="N") + (sd_sample="Y")*(cfg_use_sample="Yes"))*(sd_qty&gt;0))),"")</f>
        <v>0</v>
      </c>
      <c r="D9" s="67" t="str">
        <f aca="false">IFERROR(IF(OR($B9="",$C9=0,$C9=""),"",SUMPRODUCT((sd_item=$B9)*((sd_sample="N") + (sd_sample="Y")*(cfg_use_sample="Yes"))*SALES_DATA!$F$6:$F$545)/$C9),"")</f>
        <v/>
      </c>
      <c r="E9" s="68" t="str">
        <f aca="false">IFERROR(IF(OR($B9="",$C9=0,$C9=""),"",SUMPRODUCT((sd_item=$B9)*((sd_sample="N") + (sd_sample="Y")*(cfg_use_sample="Yes"))*sd_qty)/$C9),"")</f>
        <v/>
      </c>
      <c r="F9" s="69" t="str">
        <f aca="false">IFERROR(IF(OR($B9="",$C9&lt;10,NOT(ISNUMBER($P9)),$P9=0),"",$Q9/$P9),"")</f>
        <v/>
      </c>
      <c r="G9" s="69" t="str">
        <f aca="false">IFERROR(IF(OR(NOT(ISNUMBER($F9)),$C9&lt;3,$P9=0,NOT(ISNUMBER($R9))),"",SQRT($R9/($C9-2)/$P9)),"")</f>
        <v/>
      </c>
      <c r="H9" s="69" t="str">
        <f aca="false">IFERROR(IF(OR(NOT(ISNUMBER($F9)),NOT(ISNUMBER($G9))),"",$F9-1.96*$G9),"")</f>
        <v/>
      </c>
      <c r="I9" s="69" t="str">
        <f aca="false">IFERROR(IF(OR(NOT(ISNUMBER($F9)),NOT(ISNUMBER($G9))),"",$F9+1.96*$G9),"")</f>
        <v/>
      </c>
      <c r="J9" s="45" t="str">
        <f aca="false">IF(OR($B9="",NOT(ISNUMBER($F9))),"—",IF($C9&lt;30,"LOW",IF($I9&lt;=-1,"HIGH","MEDIUM")))</f>
        <v>—</v>
      </c>
      <c r="K9" s="70" t="str">
        <f aca="false">IF($B9="","",IF(NOT(ISNUMBER($F9)),"No matching rows in SALES_DATA — using category prior",IF($C9&lt;30,"Low sample (&lt;30 obs) — CI is wide",IF($I9&gt;-1,"CI crosses -1 — direction uncertain","OK"))))</f>
        <v>No matching rows in SALES_DATA — using category prior</v>
      </c>
      <c r="L9" s="71" t="str">
        <f aca="false">IF(ISNUMBER($F9),$F9,"")</f>
        <v/>
      </c>
      <c r="N9" s="72" t="str">
        <f aca="false">IFERROR(IF($B9="","",SUMPRODUCT((sd_item=$B9)*((sd_sample="N") + (sd_sample="Y")*(cfg_use_sample="Yes"))*sd_lnp)/SUMPRODUCT((sd_item=$B9)*((sd_sample="N") + (sd_sample="Y")*(cfg_use_sample="Yes")))),"")</f>
        <v/>
      </c>
      <c r="O9" s="72" t="str">
        <f aca="false">IFERROR(IF($B9="","",SUMPRODUCT((sd_item=$B9)*((sd_sample="N") + (sd_sample="Y")*(cfg_use_sample="Yes"))*sd_lnq)/SUMPRODUCT((sd_item=$B9)*((sd_sample="N") + (sd_sample="Y")*(cfg_use_sample="Yes")))),"")</f>
        <v/>
      </c>
      <c r="P9" s="72" t="str">
        <f aca="false">IFERROR(IF(OR($B9="",$N9=""),"",SUMPRODUCT((sd_item=$B9)*((sd_sample="N") + (sd_sample="Y")*(cfg_use_sample="Yes"))*(sd_lnp-$N9)^2)),"")</f>
        <v/>
      </c>
      <c r="Q9" s="72" t="str">
        <f aca="false">IFERROR(IF(OR($B9="",$N9=""),"",SUMPRODUCT((sd_item=$B9)*((sd_sample="N") + (sd_sample="Y")*(cfg_use_sample="Yes"))*(sd_lnp-$N9)*(sd_lnq-$O9))),"")</f>
        <v/>
      </c>
      <c r="R9" s="72" t="str">
        <f aca="false">IFERROR(IF(OR($B9="",$F9="",$F9=0,NOT(ISNUMBER($F9))),"",SUMPRODUCT((sd_item=$B9)*((sd_sample="N") + (sd_sample="Y")*(cfg_use_sample="Yes"))*(sd_lnq-$O9-$F9*(sd_lnp-$N9))^2)),"")</f>
        <v/>
      </c>
    </row>
    <row r="10" customFormat="false" ht="23.25" hidden="false" customHeight="true" outlineLevel="0" collapsed="false">
      <c r="A10" s="15" t="n">
        <v>5</v>
      </c>
      <c r="B10" s="41" t="str">
        <f aca="false">IF(OWNER_INPUTS!B10="","",OWNER_INPUTS!B10)</f>
        <v>Pancakes</v>
      </c>
      <c r="C10" s="66" t="n">
        <f aca="false">IFERROR(IF($B10="","",SUMPRODUCT((sd_item=$B10)*((sd_sample="N") + (sd_sample="Y")*(cfg_use_sample="Yes"))*(sd_qty&gt;0))),"")</f>
        <v>0</v>
      </c>
      <c r="D10" s="67" t="str">
        <f aca="false">IFERROR(IF(OR($B10="",$C10=0,$C10=""),"",SUMPRODUCT((sd_item=$B10)*((sd_sample="N") + (sd_sample="Y")*(cfg_use_sample="Yes"))*SALES_DATA!$F$6:$F$545)/$C10),"")</f>
        <v/>
      </c>
      <c r="E10" s="68" t="str">
        <f aca="false">IFERROR(IF(OR($B10="",$C10=0,$C10=""),"",SUMPRODUCT((sd_item=$B10)*((sd_sample="N") + (sd_sample="Y")*(cfg_use_sample="Yes"))*sd_qty)/$C10),"")</f>
        <v/>
      </c>
      <c r="F10" s="69" t="str">
        <f aca="false">IFERROR(IF(OR($B10="",$C10&lt;10,NOT(ISNUMBER($P10)),$P10=0),"",$Q10/$P10),"")</f>
        <v/>
      </c>
      <c r="G10" s="69" t="str">
        <f aca="false">IFERROR(IF(OR(NOT(ISNUMBER($F10)),$C10&lt;3,$P10=0,NOT(ISNUMBER($R10))),"",SQRT($R10/($C10-2)/$P10)),"")</f>
        <v/>
      </c>
      <c r="H10" s="69" t="str">
        <f aca="false">IFERROR(IF(OR(NOT(ISNUMBER($F10)),NOT(ISNUMBER($G10))),"",$F10-1.96*$G10),"")</f>
        <v/>
      </c>
      <c r="I10" s="69" t="str">
        <f aca="false">IFERROR(IF(OR(NOT(ISNUMBER($F10)),NOT(ISNUMBER($G10))),"",$F10+1.96*$G10),"")</f>
        <v/>
      </c>
      <c r="J10" s="45" t="str">
        <f aca="false">IF(OR($B10="",NOT(ISNUMBER($F10))),"—",IF($C10&lt;30,"LOW",IF($I10&lt;=-1,"HIGH","MEDIUM")))</f>
        <v>—</v>
      </c>
      <c r="K10" s="70" t="str">
        <f aca="false">IF($B10="","",IF(NOT(ISNUMBER($F10)),"No matching rows in SALES_DATA — using category prior",IF($C10&lt;30,"Low sample (&lt;30 obs) — CI is wide",IF($I10&gt;-1,"CI crosses -1 — direction uncertain","OK"))))</f>
        <v>No matching rows in SALES_DATA — using category prior</v>
      </c>
      <c r="L10" s="71" t="str">
        <f aca="false">IF(ISNUMBER($F10),$F10,"")</f>
        <v/>
      </c>
      <c r="N10" s="72" t="str">
        <f aca="false">IFERROR(IF($B10="","",SUMPRODUCT((sd_item=$B10)*((sd_sample="N") + (sd_sample="Y")*(cfg_use_sample="Yes"))*sd_lnp)/SUMPRODUCT((sd_item=$B10)*((sd_sample="N") + (sd_sample="Y")*(cfg_use_sample="Yes")))),"")</f>
        <v/>
      </c>
      <c r="O10" s="72" t="str">
        <f aca="false">IFERROR(IF($B10="","",SUMPRODUCT((sd_item=$B10)*((sd_sample="N") + (sd_sample="Y")*(cfg_use_sample="Yes"))*sd_lnq)/SUMPRODUCT((sd_item=$B10)*((sd_sample="N") + (sd_sample="Y")*(cfg_use_sample="Yes")))),"")</f>
        <v/>
      </c>
      <c r="P10" s="72" t="str">
        <f aca="false">IFERROR(IF(OR($B10="",$N10=""),"",SUMPRODUCT((sd_item=$B10)*((sd_sample="N") + (sd_sample="Y")*(cfg_use_sample="Yes"))*(sd_lnp-$N10)^2)),"")</f>
        <v/>
      </c>
      <c r="Q10" s="72" t="str">
        <f aca="false">IFERROR(IF(OR($B10="",$N10=""),"",SUMPRODUCT((sd_item=$B10)*((sd_sample="N") + (sd_sample="Y")*(cfg_use_sample="Yes"))*(sd_lnp-$N10)*(sd_lnq-$O10))),"")</f>
        <v/>
      </c>
      <c r="R10" s="72" t="str">
        <f aca="false">IFERROR(IF(OR($B10="",$F10="",$F10=0,NOT(ISNUMBER($F10))),"",SUMPRODUCT((sd_item=$B10)*((sd_sample="N") + (sd_sample="Y")*(cfg_use_sample="Yes"))*(sd_lnq-$O10-$F10*(sd_lnp-$N10))^2)),"")</f>
        <v/>
      </c>
    </row>
    <row r="11" customFormat="false" ht="23.25" hidden="false" customHeight="true" outlineLevel="0" collapsed="false">
      <c r="A11" s="15" t="n">
        <v>6</v>
      </c>
      <c r="B11" s="41" t="str">
        <f aca="false">IF(OWNER_INPUTS!B11="","",OWNER_INPUTS!B11)</f>
        <v>Cheesecake</v>
      </c>
      <c r="C11" s="66" t="n">
        <f aca="false">IFERROR(IF($B11="","",SUMPRODUCT((sd_item=$B11)*((sd_sample="N") + (sd_sample="Y")*(cfg_use_sample="Yes"))*(sd_qty&gt;0))),"")</f>
        <v>0</v>
      </c>
      <c r="D11" s="67" t="str">
        <f aca="false">IFERROR(IF(OR($B11="",$C11=0,$C11=""),"",SUMPRODUCT((sd_item=$B11)*((sd_sample="N") + (sd_sample="Y")*(cfg_use_sample="Yes"))*SALES_DATA!$F$6:$F$545)/$C11),"")</f>
        <v/>
      </c>
      <c r="E11" s="68" t="str">
        <f aca="false">IFERROR(IF(OR($B11="",$C11=0,$C11=""),"",SUMPRODUCT((sd_item=$B11)*((sd_sample="N") + (sd_sample="Y")*(cfg_use_sample="Yes"))*sd_qty)/$C11),"")</f>
        <v/>
      </c>
      <c r="F11" s="69" t="str">
        <f aca="false">IFERROR(IF(OR($B11="",$C11&lt;10,NOT(ISNUMBER($P11)),$P11=0),"",$Q11/$P11),"")</f>
        <v/>
      </c>
      <c r="G11" s="69" t="str">
        <f aca="false">IFERROR(IF(OR(NOT(ISNUMBER($F11)),$C11&lt;3,$P11=0,NOT(ISNUMBER($R11))),"",SQRT($R11/($C11-2)/$P11)),"")</f>
        <v/>
      </c>
      <c r="H11" s="69" t="str">
        <f aca="false">IFERROR(IF(OR(NOT(ISNUMBER($F11)),NOT(ISNUMBER($G11))),"",$F11-1.96*$G11),"")</f>
        <v/>
      </c>
      <c r="I11" s="69" t="str">
        <f aca="false">IFERROR(IF(OR(NOT(ISNUMBER($F11)),NOT(ISNUMBER($G11))),"",$F11+1.96*$G11),"")</f>
        <v/>
      </c>
      <c r="J11" s="45" t="str">
        <f aca="false">IF(OR($B11="",NOT(ISNUMBER($F11))),"—",IF($C11&lt;30,"LOW",IF($I11&lt;=-1,"HIGH","MEDIUM")))</f>
        <v>—</v>
      </c>
      <c r="K11" s="70" t="str">
        <f aca="false">IF($B11="","",IF(NOT(ISNUMBER($F11)),"No matching rows in SALES_DATA — using category prior",IF($C11&lt;30,"Low sample (&lt;30 obs) — CI is wide",IF($I11&gt;-1,"CI crosses -1 — direction uncertain","OK"))))</f>
        <v>No matching rows in SALES_DATA — using category prior</v>
      </c>
      <c r="L11" s="71" t="str">
        <f aca="false">IF(ISNUMBER($F11),$F11,"")</f>
        <v/>
      </c>
      <c r="N11" s="72" t="str">
        <f aca="false">IFERROR(IF($B11="","",SUMPRODUCT((sd_item=$B11)*((sd_sample="N") + (sd_sample="Y")*(cfg_use_sample="Yes"))*sd_lnp)/SUMPRODUCT((sd_item=$B11)*((sd_sample="N") + (sd_sample="Y")*(cfg_use_sample="Yes")))),"")</f>
        <v/>
      </c>
      <c r="O11" s="72" t="str">
        <f aca="false">IFERROR(IF($B11="","",SUMPRODUCT((sd_item=$B11)*((sd_sample="N") + (sd_sample="Y")*(cfg_use_sample="Yes"))*sd_lnq)/SUMPRODUCT((sd_item=$B11)*((sd_sample="N") + (sd_sample="Y")*(cfg_use_sample="Yes")))),"")</f>
        <v/>
      </c>
      <c r="P11" s="72" t="str">
        <f aca="false">IFERROR(IF(OR($B11="",$N11=""),"",SUMPRODUCT((sd_item=$B11)*((sd_sample="N") + (sd_sample="Y")*(cfg_use_sample="Yes"))*(sd_lnp-$N11)^2)),"")</f>
        <v/>
      </c>
      <c r="Q11" s="72" t="str">
        <f aca="false">IFERROR(IF(OR($B11="",$N11=""),"",SUMPRODUCT((sd_item=$B11)*((sd_sample="N") + (sd_sample="Y")*(cfg_use_sample="Yes"))*(sd_lnp-$N11)*(sd_lnq-$O11))),"")</f>
        <v/>
      </c>
      <c r="R11" s="72" t="str">
        <f aca="false">IFERROR(IF(OR($B11="",$F11="",$F11=0,NOT(ISNUMBER($F11))),"",SUMPRODUCT((sd_item=$B11)*((sd_sample="N") + (sd_sample="Y")*(cfg_use_sample="Yes"))*(sd_lnq-$O11-$F11*(sd_lnp-$N11))^2)),"")</f>
        <v/>
      </c>
    </row>
    <row r="12" customFormat="false" ht="15" hidden="false" customHeight="true" outlineLevel="0" collapsed="false">
      <c r="A12" s="15" t="n">
        <v>7</v>
      </c>
      <c r="B12" s="41" t="str">
        <f aca="false">IF(OWNER_INPUTS!B12="","",OWNER_INPUTS!B12)</f>
        <v/>
      </c>
      <c r="C12" s="66" t="str">
        <f aca="false">IFERROR(IF($B12="","",SUMPRODUCT((sd_item=$B12)*((sd_sample="N") + (sd_sample="Y")*(cfg_use_sample="Yes"))*(sd_qty&gt;0))),"")</f>
        <v/>
      </c>
      <c r="D12" s="67" t="str">
        <f aca="false">IFERROR(IF(OR($B12="",$C12=0,$C12=""),"",SUMPRODUCT((sd_item=$B12)*((sd_sample="N") + (sd_sample="Y")*(cfg_use_sample="Yes"))*SALES_DATA!$F$6:$F$545)/$C12),"")</f>
        <v/>
      </c>
      <c r="E12" s="68" t="str">
        <f aca="false">IFERROR(IF(OR($B12="",$C12=0,$C12=""),"",SUMPRODUCT((sd_item=$B12)*((sd_sample="N") + (sd_sample="Y")*(cfg_use_sample="Yes"))*sd_qty)/$C12),"")</f>
        <v/>
      </c>
      <c r="F12" s="69" t="str">
        <f aca="false">IFERROR(IF(OR($B12="",$C12&lt;10,NOT(ISNUMBER($P12)),$P12=0),"",$Q12/$P12),"")</f>
        <v/>
      </c>
      <c r="G12" s="69" t="str">
        <f aca="false">IFERROR(IF(OR(NOT(ISNUMBER($F12)),$C12&lt;3,$P12=0,NOT(ISNUMBER($R12))),"",SQRT($R12/($C12-2)/$P12)),"")</f>
        <v/>
      </c>
      <c r="H12" s="69" t="str">
        <f aca="false">IFERROR(IF(OR(NOT(ISNUMBER($F12)),NOT(ISNUMBER($G12))),"",$F12-1.96*$G12),"")</f>
        <v/>
      </c>
      <c r="I12" s="69" t="str">
        <f aca="false">IFERROR(IF(OR(NOT(ISNUMBER($F12)),NOT(ISNUMBER($G12))),"",$F12+1.96*$G12),"")</f>
        <v/>
      </c>
      <c r="J12" s="45" t="str">
        <f aca="false">IF(OR($B12="",NOT(ISNUMBER($F12))),"—",IF($C12&lt;30,"LOW",IF($I12&lt;=-1,"HIGH","MEDIUM")))</f>
        <v>—</v>
      </c>
      <c r="K12" s="70" t="str">
        <f aca="false">IF($B12="","",IF(NOT(ISNUMBER($F12)),"No matching rows in SALES_DATA — using category prior",IF($C12&lt;30,"Low sample (&lt;30 obs) — CI is wide",IF($I12&gt;-1,"CI crosses -1 — direction uncertain","OK"))))</f>
        <v/>
      </c>
      <c r="L12" s="71" t="str">
        <f aca="false">IF(ISNUMBER($F12),$F12,"")</f>
        <v/>
      </c>
      <c r="N12" s="72" t="str">
        <f aca="false">IFERROR(IF($B12="","",SUMPRODUCT((sd_item=$B12)*((sd_sample="N") + (sd_sample="Y")*(cfg_use_sample="Yes"))*sd_lnp)/SUMPRODUCT((sd_item=$B12)*((sd_sample="N") + (sd_sample="Y")*(cfg_use_sample="Yes")))),"")</f>
        <v/>
      </c>
      <c r="O12" s="72" t="str">
        <f aca="false">IFERROR(IF($B12="","",SUMPRODUCT((sd_item=$B12)*((sd_sample="N") + (sd_sample="Y")*(cfg_use_sample="Yes"))*sd_lnq)/SUMPRODUCT((sd_item=$B12)*((sd_sample="N") + (sd_sample="Y")*(cfg_use_sample="Yes")))),"")</f>
        <v/>
      </c>
      <c r="P12" s="72" t="str">
        <f aca="false">IFERROR(IF(OR($B12="",$N12=""),"",SUMPRODUCT((sd_item=$B12)*((sd_sample="N") + (sd_sample="Y")*(cfg_use_sample="Yes"))*(sd_lnp-$N12)^2)),"")</f>
        <v/>
      </c>
      <c r="Q12" s="72" t="str">
        <f aca="false">IFERROR(IF(OR($B12="",$N12=""),"",SUMPRODUCT((sd_item=$B12)*((sd_sample="N") + (sd_sample="Y")*(cfg_use_sample="Yes"))*(sd_lnp-$N12)*(sd_lnq-$O12))),"")</f>
        <v/>
      </c>
      <c r="R12" s="72" t="str">
        <f aca="false">IFERROR(IF(OR($B12="",$F12="",$F12=0,NOT(ISNUMBER($F12))),"",SUMPRODUCT((sd_item=$B12)*((sd_sample="N") + (sd_sample="Y")*(cfg_use_sample="Yes"))*(sd_lnq-$O12-$F12*(sd_lnp-$N12))^2)),"")</f>
        <v/>
      </c>
    </row>
    <row r="13" customFormat="false" ht="15" hidden="false" customHeight="true" outlineLevel="0" collapsed="false">
      <c r="A13" s="15" t="n">
        <v>8</v>
      </c>
      <c r="B13" s="41" t="str">
        <f aca="false">IF(OWNER_INPUTS!B13="","",OWNER_INPUTS!B13)</f>
        <v/>
      </c>
      <c r="C13" s="66" t="str">
        <f aca="false">IFERROR(IF($B13="","",SUMPRODUCT((sd_item=$B13)*((sd_sample="N") + (sd_sample="Y")*(cfg_use_sample="Yes"))*(sd_qty&gt;0))),"")</f>
        <v/>
      </c>
      <c r="D13" s="67" t="str">
        <f aca="false">IFERROR(IF(OR($B13="",$C13=0,$C13=""),"",SUMPRODUCT((sd_item=$B13)*((sd_sample="N") + (sd_sample="Y")*(cfg_use_sample="Yes"))*SALES_DATA!$F$6:$F$545)/$C13),"")</f>
        <v/>
      </c>
      <c r="E13" s="68" t="str">
        <f aca="false">IFERROR(IF(OR($B13="",$C13=0,$C13=""),"",SUMPRODUCT((sd_item=$B13)*((sd_sample="N") + (sd_sample="Y")*(cfg_use_sample="Yes"))*sd_qty)/$C13),"")</f>
        <v/>
      </c>
      <c r="F13" s="69" t="str">
        <f aca="false">IFERROR(IF(OR($B13="",$C13&lt;10,NOT(ISNUMBER($P13)),$P13=0),"",$Q13/$P13),"")</f>
        <v/>
      </c>
      <c r="G13" s="69" t="str">
        <f aca="false">IFERROR(IF(OR(NOT(ISNUMBER($F13)),$C13&lt;3,$P13=0,NOT(ISNUMBER($R13))),"",SQRT($R13/($C13-2)/$P13)),"")</f>
        <v/>
      </c>
      <c r="H13" s="69" t="str">
        <f aca="false">IFERROR(IF(OR(NOT(ISNUMBER($F13)),NOT(ISNUMBER($G13))),"",$F13-1.96*$G13),"")</f>
        <v/>
      </c>
      <c r="I13" s="69" t="str">
        <f aca="false">IFERROR(IF(OR(NOT(ISNUMBER($F13)),NOT(ISNUMBER($G13))),"",$F13+1.96*$G13),"")</f>
        <v/>
      </c>
      <c r="J13" s="45" t="str">
        <f aca="false">IF(OR($B13="",NOT(ISNUMBER($F13))),"—",IF($C13&lt;30,"LOW",IF($I13&lt;=-1,"HIGH","MEDIUM")))</f>
        <v>—</v>
      </c>
      <c r="K13" s="70" t="str">
        <f aca="false">IF($B13="","",IF(NOT(ISNUMBER($F13)),"No matching rows in SALES_DATA — using category prior",IF($C13&lt;30,"Low sample (&lt;30 obs) — CI is wide",IF($I13&gt;-1,"CI crosses -1 — direction uncertain","OK"))))</f>
        <v/>
      </c>
      <c r="L13" s="71" t="str">
        <f aca="false">IF(ISNUMBER($F13),$F13,"")</f>
        <v/>
      </c>
      <c r="N13" s="72" t="str">
        <f aca="false">IFERROR(IF($B13="","",SUMPRODUCT((sd_item=$B13)*((sd_sample="N") + (sd_sample="Y")*(cfg_use_sample="Yes"))*sd_lnp)/SUMPRODUCT((sd_item=$B13)*((sd_sample="N") + (sd_sample="Y")*(cfg_use_sample="Yes")))),"")</f>
        <v/>
      </c>
      <c r="O13" s="72" t="str">
        <f aca="false">IFERROR(IF($B13="","",SUMPRODUCT((sd_item=$B13)*((sd_sample="N") + (sd_sample="Y")*(cfg_use_sample="Yes"))*sd_lnq)/SUMPRODUCT((sd_item=$B13)*((sd_sample="N") + (sd_sample="Y")*(cfg_use_sample="Yes")))),"")</f>
        <v/>
      </c>
      <c r="P13" s="72" t="str">
        <f aca="false">IFERROR(IF(OR($B13="",$N13=""),"",SUMPRODUCT((sd_item=$B13)*((sd_sample="N") + (sd_sample="Y")*(cfg_use_sample="Yes"))*(sd_lnp-$N13)^2)),"")</f>
        <v/>
      </c>
      <c r="Q13" s="72" t="str">
        <f aca="false">IFERROR(IF(OR($B13="",$N13=""),"",SUMPRODUCT((sd_item=$B13)*((sd_sample="N") + (sd_sample="Y")*(cfg_use_sample="Yes"))*(sd_lnp-$N13)*(sd_lnq-$O13))),"")</f>
        <v/>
      </c>
      <c r="R13" s="72" t="str">
        <f aca="false">IFERROR(IF(OR($B13="",$F13="",$F13=0,NOT(ISNUMBER($F13))),"",SUMPRODUCT((sd_item=$B13)*((sd_sample="N") + (sd_sample="Y")*(cfg_use_sample="Yes"))*(sd_lnq-$O13-$F13*(sd_lnp-$N13))^2)),"")</f>
        <v/>
      </c>
    </row>
    <row r="14" customFormat="false" ht="15" hidden="false" customHeight="true" outlineLevel="0" collapsed="false">
      <c r="A14" s="15" t="n">
        <v>9</v>
      </c>
      <c r="B14" s="41" t="str">
        <f aca="false">IF(OWNER_INPUTS!B14="","",OWNER_INPUTS!B14)</f>
        <v/>
      </c>
      <c r="C14" s="66" t="str">
        <f aca="false">IFERROR(IF($B14="","",SUMPRODUCT((sd_item=$B14)*((sd_sample="N") + (sd_sample="Y")*(cfg_use_sample="Yes"))*(sd_qty&gt;0))),"")</f>
        <v/>
      </c>
      <c r="D14" s="67" t="str">
        <f aca="false">IFERROR(IF(OR($B14="",$C14=0,$C14=""),"",SUMPRODUCT((sd_item=$B14)*((sd_sample="N") + (sd_sample="Y")*(cfg_use_sample="Yes"))*SALES_DATA!$F$6:$F$545)/$C14),"")</f>
        <v/>
      </c>
      <c r="E14" s="68" t="str">
        <f aca="false">IFERROR(IF(OR($B14="",$C14=0,$C14=""),"",SUMPRODUCT((sd_item=$B14)*((sd_sample="N") + (sd_sample="Y")*(cfg_use_sample="Yes"))*sd_qty)/$C14),"")</f>
        <v/>
      </c>
      <c r="F14" s="69" t="str">
        <f aca="false">IFERROR(IF(OR($B14="",$C14&lt;10,NOT(ISNUMBER($P14)),$P14=0),"",$Q14/$P14),"")</f>
        <v/>
      </c>
      <c r="G14" s="69" t="str">
        <f aca="false">IFERROR(IF(OR(NOT(ISNUMBER($F14)),$C14&lt;3,$P14=0,NOT(ISNUMBER($R14))),"",SQRT($R14/($C14-2)/$P14)),"")</f>
        <v/>
      </c>
      <c r="H14" s="69" t="str">
        <f aca="false">IFERROR(IF(OR(NOT(ISNUMBER($F14)),NOT(ISNUMBER($G14))),"",$F14-1.96*$G14),"")</f>
        <v/>
      </c>
      <c r="I14" s="69" t="str">
        <f aca="false">IFERROR(IF(OR(NOT(ISNUMBER($F14)),NOT(ISNUMBER($G14))),"",$F14+1.96*$G14),"")</f>
        <v/>
      </c>
      <c r="J14" s="45" t="str">
        <f aca="false">IF(OR($B14="",NOT(ISNUMBER($F14))),"—",IF($C14&lt;30,"LOW",IF($I14&lt;=-1,"HIGH","MEDIUM")))</f>
        <v>—</v>
      </c>
      <c r="K14" s="70" t="str">
        <f aca="false">IF($B14="","",IF(NOT(ISNUMBER($F14)),"No matching rows in SALES_DATA — using category prior",IF($C14&lt;30,"Low sample (&lt;30 obs) — CI is wide",IF($I14&gt;-1,"CI crosses -1 — direction uncertain","OK"))))</f>
        <v/>
      </c>
      <c r="L14" s="71" t="str">
        <f aca="false">IF(ISNUMBER($F14),$F14,"")</f>
        <v/>
      </c>
      <c r="N14" s="72" t="str">
        <f aca="false">IFERROR(IF($B14="","",SUMPRODUCT((sd_item=$B14)*((sd_sample="N") + (sd_sample="Y")*(cfg_use_sample="Yes"))*sd_lnp)/SUMPRODUCT((sd_item=$B14)*((sd_sample="N") + (sd_sample="Y")*(cfg_use_sample="Yes")))),"")</f>
        <v/>
      </c>
      <c r="O14" s="72" t="str">
        <f aca="false">IFERROR(IF($B14="","",SUMPRODUCT((sd_item=$B14)*((sd_sample="N") + (sd_sample="Y")*(cfg_use_sample="Yes"))*sd_lnq)/SUMPRODUCT((sd_item=$B14)*((sd_sample="N") + (sd_sample="Y")*(cfg_use_sample="Yes")))),"")</f>
        <v/>
      </c>
      <c r="P14" s="72" t="str">
        <f aca="false">IFERROR(IF(OR($B14="",$N14=""),"",SUMPRODUCT((sd_item=$B14)*((sd_sample="N") + (sd_sample="Y")*(cfg_use_sample="Yes"))*(sd_lnp-$N14)^2)),"")</f>
        <v/>
      </c>
      <c r="Q14" s="72" t="str">
        <f aca="false">IFERROR(IF(OR($B14="",$N14=""),"",SUMPRODUCT((sd_item=$B14)*((sd_sample="N") + (sd_sample="Y")*(cfg_use_sample="Yes"))*(sd_lnp-$N14)*(sd_lnq-$O14))),"")</f>
        <v/>
      </c>
      <c r="R14" s="72" t="str">
        <f aca="false">IFERROR(IF(OR($B14="",$F14="",$F14=0,NOT(ISNUMBER($F14))),"",SUMPRODUCT((sd_item=$B14)*((sd_sample="N") + (sd_sample="Y")*(cfg_use_sample="Yes"))*(sd_lnq-$O14-$F14*(sd_lnp-$N14))^2)),"")</f>
        <v/>
      </c>
    </row>
    <row r="15" customFormat="false" ht="15" hidden="false" customHeight="true" outlineLevel="0" collapsed="false">
      <c r="A15" s="15" t="n">
        <v>10</v>
      </c>
      <c r="B15" s="41" t="str">
        <f aca="false">IF(OWNER_INPUTS!B15="","",OWNER_INPUTS!B15)</f>
        <v/>
      </c>
      <c r="C15" s="66" t="str">
        <f aca="false">IFERROR(IF($B15="","",SUMPRODUCT((sd_item=$B15)*((sd_sample="N") + (sd_sample="Y")*(cfg_use_sample="Yes"))*(sd_qty&gt;0))),"")</f>
        <v/>
      </c>
      <c r="D15" s="67" t="str">
        <f aca="false">IFERROR(IF(OR($B15="",$C15=0,$C15=""),"",SUMPRODUCT((sd_item=$B15)*((sd_sample="N") + (sd_sample="Y")*(cfg_use_sample="Yes"))*SALES_DATA!$F$6:$F$545)/$C15),"")</f>
        <v/>
      </c>
      <c r="E15" s="68" t="str">
        <f aca="false">IFERROR(IF(OR($B15="",$C15=0,$C15=""),"",SUMPRODUCT((sd_item=$B15)*((sd_sample="N") + (sd_sample="Y")*(cfg_use_sample="Yes"))*sd_qty)/$C15),"")</f>
        <v/>
      </c>
      <c r="F15" s="69" t="str">
        <f aca="false">IFERROR(IF(OR($B15="",$C15&lt;10,NOT(ISNUMBER($P15)),$P15=0),"",$Q15/$P15),"")</f>
        <v/>
      </c>
      <c r="G15" s="69" t="str">
        <f aca="false">IFERROR(IF(OR(NOT(ISNUMBER($F15)),$C15&lt;3,$P15=0,NOT(ISNUMBER($R15))),"",SQRT($R15/($C15-2)/$P15)),"")</f>
        <v/>
      </c>
      <c r="H15" s="69" t="str">
        <f aca="false">IFERROR(IF(OR(NOT(ISNUMBER($F15)),NOT(ISNUMBER($G15))),"",$F15-1.96*$G15),"")</f>
        <v/>
      </c>
      <c r="I15" s="69" t="str">
        <f aca="false">IFERROR(IF(OR(NOT(ISNUMBER($F15)),NOT(ISNUMBER($G15))),"",$F15+1.96*$G15),"")</f>
        <v/>
      </c>
      <c r="J15" s="45" t="str">
        <f aca="false">IF(OR($B15="",NOT(ISNUMBER($F15))),"—",IF($C15&lt;30,"LOW",IF($I15&lt;=-1,"HIGH","MEDIUM")))</f>
        <v>—</v>
      </c>
      <c r="K15" s="70" t="str">
        <f aca="false">IF($B15="","",IF(NOT(ISNUMBER($F15)),"No matching rows in SALES_DATA — using category prior",IF($C15&lt;30,"Low sample (&lt;30 obs) — CI is wide",IF($I15&gt;-1,"CI crosses -1 — direction uncertain","OK"))))</f>
        <v/>
      </c>
      <c r="L15" s="71" t="str">
        <f aca="false">IF(ISNUMBER($F15),$F15,"")</f>
        <v/>
      </c>
      <c r="N15" s="72" t="str">
        <f aca="false">IFERROR(IF($B15="","",SUMPRODUCT((sd_item=$B15)*((sd_sample="N") + (sd_sample="Y")*(cfg_use_sample="Yes"))*sd_lnp)/SUMPRODUCT((sd_item=$B15)*((sd_sample="N") + (sd_sample="Y")*(cfg_use_sample="Yes")))),"")</f>
        <v/>
      </c>
      <c r="O15" s="72" t="str">
        <f aca="false">IFERROR(IF($B15="","",SUMPRODUCT((sd_item=$B15)*((sd_sample="N") + (sd_sample="Y")*(cfg_use_sample="Yes"))*sd_lnq)/SUMPRODUCT((sd_item=$B15)*((sd_sample="N") + (sd_sample="Y")*(cfg_use_sample="Yes")))),"")</f>
        <v/>
      </c>
      <c r="P15" s="72" t="str">
        <f aca="false">IFERROR(IF(OR($B15="",$N15=""),"",SUMPRODUCT((sd_item=$B15)*((sd_sample="N") + (sd_sample="Y")*(cfg_use_sample="Yes"))*(sd_lnp-$N15)^2)),"")</f>
        <v/>
      </c>
      <c r="Q15" s="72" t="str">
        <f aca="false">IFERROR(IF(OR($B15="",$N15=""),"",SUMPRODUCT((sd_item=$B15)*((sd_sample="N") + (sd_sample="Y")*(cfg_use_sample="Yes"))*(sd_lnp-$N15)*(sd_lnq-$O15))),"")</f>
        <v/>
      </c>
      <c r="R15" s="72" t="str">
        <f aca="false">IFERROR(IF(OR($B15="",$F15="",$F15=0,NOT(ISNUMBER($F15))),"",SUMPRODUCT((sd_item=$B15)*((sd_sample="N") + (sd_sample="Y")*(cfg_use_sample="Yes"))*(sd_lnq-$O15-$F15*(sd_lnp-$N15))^2)),"")</f>
        <v/>
      </c>
    </row>
    <row r="16" customFormat="false" ht="15" hidden="false" customHeight="true" outlineLevel="0" collapsed="false">
      <c r="A16" s="15" t="n">
        <v>11</v>
      </c>
      <c r="B16" s="41" t="str">
        <f aca="false">IF(OWNER_INPUTS!B16="","",OWNER_INPUTS!B16)</f>
        <v/>
      </c>
      <c r="C16" s="66" t="str">
        <f aca="false">IFERROR(IF($B16="","",SUMPRODUCT((sd_item=$B16)*((sd_sample="N") + (sd_sample="Y")*(cfg_use_sample="Yes"))*(sd_qty&gt;0))),"")</f>
        <v/>
      </c>
      <c r="D16" s="67" t="str">
        <f aca="false">IFERROR(IF(OR($B16="",$C16=0,$C16=""),"",SUMPRODUCT((sd_item=$B16)*((sd_sample="N") + (sd_sample="Y")*(cfg_use_sample="Yes"))*SALES_DATA!$F$6:$F$545)/$C16),"")</f>
        <v/>
      </c>
      <c r="E16" s="68" t="str">
        <f aca="false">IFERROR(IF(OR($B16="",$C16=0,$C16=""),"",SUMPRODUCT((sd_item=$B16)*((sd_sample="N") + (sd_sample="Y")*(cfg_use_sample="Yes"))*sd_qty)/$C16),"")</f>
        <v/>
      </c>
      <c r="F16" s="69" t="str">
        <f aca="false">IFERROR(IF(OR($B16="",$C16&lt;10,NOT(ISNUMBER($P16)),$P16=0),"",$Q16/$P16),"")</f>
        <v/>
      </c>
      <c r="G16" s="69" t="str">
        <f aca="false">IFERROR(IF(OR(NOT(ISNUMBER($F16)),$C16&lt;3,$P16=0,NOT(ISNUMBER($R16))),"",SQRT($R16/($C16-2)/$P16)),"")</f>
        <v/>
      </c>
      <c r="H16" s="69" t="str">
        <f aca="false">IFERROR(IF(OR(NOT(ISNUMBER($F16)),NOT(ISNUMBER($G16))),"",$F16-1.96*$G16),"")</f>
        <v/>
      </c>
      <c r="I16" s="69" t="str">
        <f aca="false">IFERROR(IF(OR(NOT(ISNUMBER($F16)),NOT(ISNUMBER($G16))),"",$F16+1.96*$G16),"")</f>
        <v/>
      </c>
      <c r="J16" s="45" t="str">
        <f aca="false">IF(OR($B16="",NOT(ISNUMBER($F16))),"—",IF($C16&lt;30,"LOW",IF($I16&lt;=-1,"HIGH","MEDIUM")))</f>
        <v>—</v>
      </c>
      <c r="K16" s="70" t="str">
        <f aca="false">IF($B16="","",IF(NOT(ISNUMBER($F16)),"No matching rows in SALES_DATA — using category prior",IF($C16&lt;30,"Low sample (&lt;30 obs) — CI is wide",IF($I16&gt;-1,"CI crosses -1 — direction uncertain","OK"))))</f>
        <v/>
      </c>
      <c r="L16" s="71" t="str">
        <f aca="false">IF(ISNUMBER($F16),$F16,"")</f>
        <v/>
      </c>
      <c r="N16" s="72" t="str">
        <f aca="false">IFERROR(IF($B16="","",SUMPRODUCT((sd_item=$B16)*((sd_sample="N") + (sd_sample="Y")*(cfg_use_sample="Yes"))*sd_lnp)/SUMPRODUCT((sd_item=$B16)*((sd_sample="N") + (sd_sample="Y")*(cfg_use_sample="Yes")))),"")</f>
        <v/>
      </c>
      <c r="O16" s="72" t="str">
        <f aca="false">IFERROR(IF($B16="","",SUMPRODUCT((sd_item=$B16)*((sd_sample="N") + (sd_sample="Y")*(cfg_use_sample="Yes"))*sd_lnq)/SUMPRODUCT((sd_item=$B16)*((sd_sample="N") + (sd_sample="Y")*(cfg_use_sample="Yes")))),"")</f>
        <v/>
      </c>
      <c r="P16" s="72" t="str">
        <f aca="false">IFERROR(IF(OR($B16="",$N16=""),"",SUMPRODUCT((sd_item=$B16)*((sd_sample="N") + (sd_sample="Y")*(cfg_use_sample="Yes"))*(sd_lnp-$N16)^2)),"")</f>
        <v/>
      </c>
      <c r="Q16" s="72" t="str">
        <f aca="false">IFERROR(IF(OR($B16="",$N16=""),"",SUMPRODUCT((sd_item=$B16)*((sd_sample="N") + (sd_sample="Y")*(cfg_use_sample="Yes"))*(sd_lnp-$N16)*(sd_lnq-$O16))),"")</f>
        <v/>
      </c>
      <c r="R16" s="72" t="str">
        <f aca="false">IFERROR(IF(OR($B16="",$F16="",$F16=0,NOT(ISNUMBER($F16))),"",SUMPRODUCT((sd_item=$B16)*((sd_sample="N") + (sd_sample="Y")*(cfg_use_sample="Yes"))*(sd_lnq-$O16-$F16*(sd_lnp-$N16))^2)),"")</f>
        <v/>
      </c>
    </row>
    <row r="17" customFormat="false" ht="15" hidden="false" customHeight="true" outlineLevel="0" collapsed="false">
      <c r="A17" s="15" t="n">
        <v>12</v>
      </c>
      <c r="B17" s="41" t="str">
        <f aca="false">IF(OWNER_INPUTS!B17="","",OWNER_INPUTS!B17)</f>
        <v/>
      </c>
      <c r="C17" s="66" t="str">
        <f aca="false">IFERROR(IF($B17="","",SUMPRODUCT((sd_item=$B17)*((sd_sample="N") + (sd_sample="Y")*(cfg_use_sample="Yes"))*(sd_qty&gt;0))),"")</f>
        <v/>
      </c>
      <c r="D17" s="67" t="str">
        <f aca="false">IFERROR(IF(OR($B17="",$C17=0,$C17=""),"",SUMPRODUCT((sd_item=$B17)*((sd_sample="N") + (sd_sample="Y")*(cfg_use_sample="Yes"))*SALES_DATA!$F$6:$F$545)/$C17),"")</f>
        <v/>
      </c>
      <c r="E17" s="68" t="str">
        <f aca="false">IFERROR(IF(OR($B17="",$C17=0,$C17=""),"",SUMPRODUCT((sd_item=$B17)*((sd_sample="N") + (sd_sample="Y")*(cfg_use_sample="Yes"))*sd_qty)/$C17),"")</f>
        <v/>
      </c>
      <c r="F17" s="69" t="str">
        <f aca="false">IFERROR(IF(OR($B17="",$C17&lt;10,NOT(ISNUMBER($P17)),$P17=0),"",$Q17/$P17),"")</f>
        <v/>
      </c>
      <c r="G17" s="69" t="str">
        <f aca="false">IFERROR(IF(OR(NOT(ISNUMBER($F17)),$C17&lt;3,$P17=0,NOT(ISNUMBER($R17))),"",SQRT($R17/($C17-2)/$P17)),"")</f>
        <v/>
      </c>
      <c r="H17" s="69" t="str">
        <f aca="false">IFERROR(IF(OR(NOT(ISNUMBER($F17)),NOT(ISNUMBER($G17))),"",$F17-1.96*$G17),"")</f>
        <v/>
      </c>
      <c r="I17" s="69" t="str">
        <f aca="false">IFERROR(IF(OR(NOT(ISNUMBER($F17)),NOT(ISNUMBER($G17))),"",$F17+1.96*$G17),"")</f>
        <v/>
      </c>
      <c r="J17" s="45" t="str">
        <f aca="false">IF(OR($B17="",NOT(ISNUMBER($F17))),"—",IF($C17&lt;30,"LOW",IF($I17&lt;=-1,"HIGH","MEDIUM")))</f>
        <v>—</v>
      </c>
      <c r="K17" s="70" t="str">
        <f aca="false">IF($B17="","",IF(NOT(ISNUMBER($F17)),"No matching rows in SALES_DATA — using category prior",IF($C17&lt;30,"Low sample (&lt;30 obs) — CI is wide",IF($I17&gt;-1,"CI crosses -1 — direction uncertain","OK"))))</f>
        <v/>
      </c>
      <c r="L17" s="71" t="str">
        <f aca="false">IF(ISNUMBER($F17),$F17,"")</f>
        <v/>
      </c>
      <c r="N17" s="72" t="str">
        <f aca="false">IFERROR(IF($B17="","",SUMPRODUCT((sd_item=$B17)*((sd_sample="N") + (sd_sample="Y")*(cfg_use_sample="Yes"))*sd_lnp)/SUMPRODUCT((sd_item=$B17)*((sd_sample="N") + (sd_sample="Y")*(cfg_use_sample="Yes")))),"")</f>
        <v/>
      </c>
      <c r="O17" s="72" t="str">
        <f aca="false">IFERROR(IF($B17="","",SUMPRODUCT((sd_item=$B17)*((sd_sample="N") + (sd_sample="Y")*(cfg_use_sample="Yes"))*sd_lnq)/SUMPRODUCT((sd_item=$B17)*((sd_sample="N") + (sd_sample="Y")*(cfg_use_sample="Yes")))),"")</f>
        <v/>
      </c>
      <c r="P17" s="72" t="str">
        <f aca="false">IFERROR(IF(OR($B17="",$N17=""),"",SUMPRODUCT((sd_item=$B17)*((sd_sample="N") + (sd_sample="Y")*(cfg_use_sample="Yes"))*(sd_lnp-$N17)^2)),"")</f>
        <v/>
      </c>
      <c r="Q17" s="72" t="str">
        <f aca="false">IFERROR(IF(OR($B17="",$N17=""),"",SUMPRODUCT((sd_item=$B17)*((sd_sample="N") + (sd_sample="Y")*(cfg_use_sample="Yes"))*(sd_lnp-$N17)*(sd_lnq-$O17))),"")</f>
        <v/>
      </c>
      <c r="R17" s="72" t="str">
        <f aca="false">IFERROR(IF(OR($B17="",$F17="",$F17=0,NOT(ISNUMBER($F17))),"",SUMPRODUCT((sd_item=$B17)*((sd_sample="N") + (sd_sample="Y")*(cfg_use_sample="Yes"))*(sd_lnq-$O17-$F17*(sd_lnp-$N17))^2)),"")</f>
        <v/>
      </c>
    </row>
    <row r="18" customFormat="false" ht="15" hidden="false" customHeight="true" outlineLevel="0" collapsed="false">
      <c r="A18" s="15" t="n">
        <v>13</v>
      </c>
      <c r="B18" s="41" t="str">
        <f aca="false">IF(OWNER_INPUTS!B18="","",OWNER_INPUTS!B18)</f>
        <v/>
      </c>
      <c r="C18" s="66" t="str">
        <f aca="false">IFERROR(IF($B18="","",SUMPRODUCT((sd_item=$B18)*((sd_sample="N") + (sd_sample="Y")*(cfg_use_sample="Yes"))*(sd_qty&gt;0))),"")</f>
        <v/>
      </c>
      <c r="D18" s="67" t="str">
        <f aca="false">IFERROR(IF(OR($B18="",$C18=0,$C18=""),"",SUMPRODUCT((sd_item=$B18)*((sd_sample="N") + (sd_sample="Y")*(cfg_use_sample="Yes"))*SALES_DATA!$F$6:$F$545)/$C18),"")</f>
        <v/>
      </c>
      <c r="E18" s="68" t="str">
        <f aca="false">IFERROR(IF(OR($B18="",$C18=0,$C18=""),"",SUMPRODUCT((sd_item=$B18)*((sd_sample="N") + (sd_sample="Y")*(cfg_use_sample="Yes"))*sd_qty)/$C18),"")</f>
        <v/>
      </c>
      <c r="F18" s="69" t="str">
        <f aca="false">IFERROR(IF(OR($B18="",$C18&lt;10,NOT(ISNUMBER($P18)),$P18=0),"",$Q18/$P18),"")</f>
        <v/>
      </c>
      <c r="G18" s="69" t="str">
        <f aca="false">IFERROR(IF(OR(NOT(ISNUMBER($F18)),$C18&lt;3,$P18=0,NOT(ISNUMBER($R18))),"",SQRT($R18/($C18-2)/$P18)),"")</f>
        <v/>
      </c>
      <c r="H18" s="69" t="str">
        <f aca="false">IFERROR(IF(OR(NOT(ISNUMBER($F18)),NOT(ISNUMBER($G18))),"",$F18-1.96*$G18),"")</f>
        <v/>
      </c>
      <c r="I18" s="69" t="str">
        <f aca="false">IFERROR(IF(OR(NOT(ISNUMBER($F18)),NOT(ISNUMBER($G18))),"",$F18+1.96*$G18),"")</f>
        <v/>
      </c>
      <c r="J18" s="45" t="str">
        <f aca="false">IF(OR($B18="",NOT(ISNUMBER($F18))),"—",IF($C18&lt;30,"LOW",IF($I18&lt;=-1,"HIGH","MEDIUM")))</f>
        <v>—</v>
      </c>
      <c r="K18" s="70" t="str">
        <f aca="false">IF($B18="","",IF(NOT(ISNUMBER($F18)),"No matching rows in SALES_DATA — using category prior",IF($C18&lt;30,"Low sample (&lt;30 obs) — CI is wide",IF($I18&gt;-1,"CI crosses -1 — direction uncertain","OK"))))</f>
        <v/>
      </c>
      <c r="L18" s="71" t="str">
        <f aca="false">IF(ISNUMBER($F18),$F18,"")</f>
        <v/>
      </c>
      <c r="N18" s="72" t="str">
        <f aca="false">IFERROR(IF($B18="","",SUMPRODUCT((sd_item=$B18)*((sd_sample="N") + (sd_sample="Y")*(cfg_use_sample="Yes"))*sd_lnp)/SUMPRODUCT((sd_item=$B18)*((sd_sample="N") + (sd_sample="Y")*(cfg_use_sample="Yes")))),"")</f>
        <v/>
      </c>
      <c r="O18" s="72" t="str">
        <f aca="false">IFERROR(IF($B18="","",SUMPRODUCT((sd_item=$B18)*((sd_sample="N") + (sd_sample="Y")*(cfg_use_sample="Yes"))*sd_lnq)/SUMPRODUCT((sd_item=$B18)*((sd_sample="N") + (sd_sample="Y")*(cfg_use_sample="Yes")))),"")</f>
        <v/>
      </c>
      <c r="P18" s="72" t="str">
        <f aca="false">IFERROR(IF(OR($B18="",$N18=""),"",SUMPRODUCT((sd_item=$B18)*((sd_sample="N") + (sd_sample="Y")*(cfg_use_sample="Yes"))*(sd_lnp-$N18)^2)),"")</f>
        <v/>
      </c>
      <c r="Q18" s="72" t="str">
        <f aca="false">IFERROR(IF(OR($B18="",$N18=""),"",SUMPRODUCT((sd_item=$B18)*((sd_sample="N") + (sd_sample="Y")*(cfg_use_sample="Yes"))*(sd_lnp-$N18)*(sd_lnq-$O18))),"")</f>
        <v/>
      </c>
      <c r="R18" s="72" t="str">
        <f aca="false">IFERROR(IF(OR($B18="",$F18="",$F18=0,NOT(ISNUMBER($F18))),"",SUMPRODUCT((sd_item=$B18)*((sd_sample="N") + (sd_sample="Y")*(cfg_use_sample="Yes"))*(sd_lnq-$O18-$F18*(sd_lnp-$N18))^2)),"")</f>
        <v/>
      </c>
    </row>
    <row r="19" customFormat="false" ht="15" hidden="false" customHeight="true" outlineLevel="0" collapsed="false">
      <c r="A19" s="15" t="n">
        <v>14</v>
      </c>
      <c r="B19" s="41" t="str">
        <f aca="false">IF(OWNER_INPUTS!B19="","",OWNER_INPUTS!B19)</f>
        <v/>
      </c>
      <c r="C19" s="66" t="str">
        <f aca="false">IFERROR(IF($B19="","",SUMPRODUCT((sd_item=$B19)*((sd_sample="N") + (sd_sample="Y")*(cfg_use_sample="Yes"))*(sd_qty&gt;0))),"")</f>
        <v/>
      </c>
      <c r="D19" s="67" t="str">
        <f aca="false">IFERROR(IF(OR($B19="",$C19=0,$C19=""),"",SUMPRODUCT((sd_item=$B19)*((sd_sample="N") + (sd_sample="Y")*(cfg_use_sample="Yes"))*SALES_DATA!$F$6:$F$545)/$C19),"")</f>
        <v/>
      </c>
      <c r="E19" s="68" t="str">
        <f aca="false">IFERROR(IF(OR($B19="",$C19=0,$C19=""),"",SUMPRODUCT((sd_item=$B19)*((sd_sample="N") + (sd_sample="Y")*(cfg_use_sample="Yes"))*sd_qty)/$C19),"")</f>
        <v/>
      </c>
      <c r="F19" s="69" t="str">
        <f aca="false">IFERROR(IF(OR($B19="",$C19&lt;10,NOT(ISNUMBER($P19)),$P19=0),"",$Q19/$P19),"")</f>
        <v/>
      </c>
      <c r="G19" s="69" t="str">
        <f aca="false">IFERROR(IF(OR(NOT(ISNUMBER($F19)),$C19&lt;3,$P19=0,NOT(ISNUMBER($R19))),"",SQRT($R19/($C19-2)/$P19)),"")</f>
        <v/>
      </c>
      <c r="H19" s="69" t="str">
        <f aca="false">IFERROR(IF(OR(NOT(ISNUMBER($F19)),NOT(ISNUMBER($G19))),"",$F19-1.96*$G19),"")</f>
        <v/>
      </c>
      <c r="I19" s="69" t="str">
        <f aca="false">IFERROR(IF(OR(NOT(ISNUMBER($F19)),NOT(ISNUMBER($G19))),"",$F19+1.96*$G19),"")</f>
        <v/>
      </c>
      <c r="J19" s="45" t="str">
        <f aca="false">IF(OR($B19="",NOT(ISNUMBER($F19))),"—",IF($C19&lt;30,"LOW",IF($I19&lt;=-1,"HIGH","MEDIUM")))</f>
        <v>—</v>
      </c>
      <c r="K19" s="70" t="str">
        <f aca="false">IF($B19="","",IF(NOT(ISNUMBER($F19)),"No matching rows in SALES_DATA — using category prior",IF($C19&lt;30,"Low sample (&lt;30 obs) — CI is wide",IF($I19&gt;-1,"CI crosses -1 — direction uncertain","OK"))))</f>
        <v/>
      </c>
      <c r="L19" s="71" t="str">
        <f aca="false">IF(ISNUMBER($F19),$F19,"")</f>
        <v/>
      </c>
      <c r="N19" s="72" t="str">
        <f aca="false">IFERROR(IF($B19="","",SUMPRODUCT((sd_item=$B19)*((sd_sample="N") + (sd_sample="Y")*(cfg_use_sample="Yes"))*sd_lnp)/SUMPRODUCT((sd_item=$B19)*((sd_sample="N") + (sd_sample="Y")*(cfg_use_sample="Yes")))),"")</f>
        <v/>
      </c>
      <c r="O19" s="72" t="str">
        <f aca="false">IFERROR(IF($B19="","",SUMPRODUCT((sd_item=$B19)*((sd_sample="N") + (sd_sample="Y")*(cfg_use_sample="Yes"))*sd_lnq)/SUMPRODUCT((sd_item=$B19)*((sd_sample="N") + (sd_sample="Y")*(cfg_use_sample="Yes")))),"")</f>
        <v/>
      </c>
      <c r="P19" s="72" t="str">
        <f aca="false">IFERROR(IF(OR($B19="",$N19=""),"",SUMPRODUCT((sd_item=$B19)*((sd_sample="N") + (sd_sample="Y")*(cfg_use_sample="Yes"))*(sd_lnp-$N19)^2)),"")</f>
        <v/>
      </c>
      <c r="Q19" s="72" t="str">
        <f aca="false">IFERROR(IF(OR($B19="",$N19=""),"",SUMPRODUCT((sd_item=$B19)*((sd_sample="N") + (sd_sample="Y")*(cfg_use_sample="Yes"))*(sd_lnp-$N19)*(sd_lnq-$O19))),"")</f>
        <v/>
      </c>
      <c r="R19" s="72" t="str">
        <f aca="false">IFERROR(IF(OR($B19="",$F19="",$F19=0,NOT(ISNUMBER($F19))),"",SUMPRODUCT((sd_item=$B19)*((sd_sample="N") + (sd_sample="Y")*(cfg_use_sample="Yes"))*(sd_lnq-$O19-$F19*(sd_lnp-$N19))^2)),"")</f>
        <v/>
      </c>
    </row>
    <row r="20" customFormat="false" ht="15" hidden="false" customHeight="true" outlineLevel="0" collapsed="false">
      <c r="A20" s="15" t="n">
        <v>15</v>
      </c>
      <c r="B20" s="41" t="str">
        <f aca="false">IF(OWNER_INPUTS!B20="","",OWNER_INPUTS!B20)</f>
        <v/>
      </c>
      <c r="C20" s="66" t="str">
        <f aca="false">IFERROR(IF($B20="","",SUMPRODUCT((sd_item=$B20)*((sd_sample="N") + (sd_sample="Y")*(cfg_use_sample="Yes"))*(sd_qty&gt;0))),"")</f>
        <v/>
      </c>
      <c r="D20" s="67" t="str">
        <f aca="false">IFERROR(IF(OR($B20="",$C20=0,$C20=""),"",SUMPRODUCT((sd_item=$B20)*((sd_sample="N") + (sd_sample="Y")*(cfg_use_sample="Yes"))*SALES_DATA!$F$6:$F$545)/$C20),"")</f>
        <v/>
      </c>
      <c r="E20" s="68" t="str">
        <f aca="false">IFERROR(IF(OR($B20="",$C20=0,$C20=""),"",SUMPRODUCT((sd_item=$B20)*((sd_sample="N") + (sd_sample="Y")*(cfg_use_sample="Yes"))*sd_qty)/$C20),"")</f>
        <v/>
      </c>
      <c r="F20" s="69" t="str">
        <f aca="false">IFERROR(IF(OR($B20="",$C20&lt;10,NOT(ISNUMBER($P20)),$P20=0),"",$Q20/$P20),"")</f>
        <v/>
      </c>
      <c r="G20" s="69" t="str">
        <f aca="false">IFERROR(IF(OR(NOT(ISNUMBER($F20)),$C20&lt;3,$P20=0,NOT(ISNUMBER($R20))),"",SQRT($R20/($C20-2)/$P20)),"")</f>
        <v/>
      </c>
      <c r="H20" s="69" t="str">
        <f aca="false">IFERROR(IF(OR(NOT(ISNUMBER($F20)),NOT(ISNUMBER($G20))),"",$F20-1.96*$G20),"")</f>
        <v/>
      </c>
      <c r="I20" s="69" t="str">
        <f aca="false">IFERROR(IF(OR(NOT(ISNUMBER($F20)),NOT(ISNUMBER($G20))),"",$F20+1.96*$G20),"")</f>
        <v/>
      </c>
      <c r="J20" s="45" t="str">
        <f aca="false">IF(OR($B20="",NOT(ISNUMBER($F20))),"—",IF($C20&lt;30,"LOW",IF($I20&lt;=-1,"HIGH","MEDIUM")))</f>
        <v>—</v>
      </c>
      <c r="K20" s="70" t="str">
        <f aca="false">IF($B20="","",IF(NOT(ISNUMBER($F20)),"No matching rows in SALES_DATA — using category prior",IF($C20&lt;30,"Low sample (&lt;30 obs) — CI is wide",IF($I20&gt;-1,"CI crosses -1 — direction uncertain","OK"))))</f>
        <v/>
      </c>
      <c r="L20" s="71" t="str">
        <f aca="false">IF(ISNUMBER($F20),$F20,"")</f>
        <v/>
      </c>
      <c r="N20" s="72" t="str">
        <f aca="false">IFERROR(IF($B20="","",SUMPRODUCT((sd_item=$B20)*((sd_sample="N") + (sd_sample="Y")*(cfg_use_sample="Yes"))*sd_lnp)/SUMPRODUCT((sd_item=$B20)*((sd_sample="N") + (sd_sample="Y")*(cfg_use_sample="Yes")))),"")</f>
        <v/>
      </c>
      <c r="O20" s="72" t="str">
        <f aca="false">IFERROR(IF($B20="","",SUMPRODUCT((sd_item=$B20)*((sd_sample="N") + (sd_sample="Y")*(cfg_use_sample="Yes"))*sd_lnq)/SUMPRODUCT((sd_item=$B20)*((sd_sample="N") + (sd_sample="Y")*(cfg_use_sample="Yes")))),"")</f>
        <v/>
      </c>
      <c r="P20" s="72" t="str">
        <f aca="false">IFERROR(IF(OR($B20="",$N20=""),"",SUMPRODUCT((sd_item=$B20)*((sd_sample="N") + (sd_sample="Y")*(cfg_use_sample="Yes"))*(sd_lnp-$N20)^2)),"")</f>
        <v/>
      </c>
      <c r="Q20" s="72" t="str">
        <f aca="false">IFERROR(IF(OR($B20="",$N20=""),"",SUMPRODUCT((sd_item=$B20)*((sd_sample="N") + (sd_sample="Y")*(cfg_use_sample="Yes"))*(sd_lnp-$N20)*(sd_lnq-$O20))),"")</f>
        <v/>
      </c>
      <c r="R20" s="72" t="str">
        <f aca="false">IFERROR(IF(OR($B20="",$F20="",$F20=0,NOT(ISNUMBER($F20))),"",SUMPRODUCT((sd_item=$B20)*((sd_sample="N") + (sd_sample="Y")*(cfg_use_sample="Yes"))*(sd_lnq-$O20-$F20*(sd_lnp-$N20))^2)),"")</f>
        <v/>
      </c>
    </row>
    <row r="21" customFormat="false" ht="15" hidden="false" customHeight="true" outlineLevel="0" collapsed="false">
      <c r="A21" s="15" t="n">
        <v>16</v>
      </c>
      <c r="B21" s="41" t="str">
        <f aca="false">IF(OWNER_INPUTS!B21="","",OWNER_INPUTS!B21)</f>
        <v/>
      </c>
      <c r="C21" s="66" t="str">
        <f aca="false">IFERROR(IF($B21="","",SUMPRODUCT((sd_item=$B21)*((sd_sample="N") + (sd_sample="Y")*(cfg_use_sample="Yes"))*(sd_qty&gt;0))),"")</f>
        <v/>
      </c>
      <c r="D21" s="67" t="str">
        <f aca="false">IFERROR(IF(OR($B21="",$C21=0,$C21=""),"",SUMPRODUCT((sd_item=$B21)*((sd_sample="N") + (sd_sample="Y")*(cfg_use_sample="Yes"))*SALES_DATA!$F$6:$F$545)/$C21),"")</f>
        <v/>
      </c>
      <c r="E21" s="68" t="str">
        <f aca="false">IFERROR(IF(OR($B21="",$C21=0,$C21=""),"",SUMPRODUCT((sd_item=$B21)*((sd_sample="N") + (sd_sample="Y")*(cfg_use_sample="Yes"))*sd_qty)/$C21),"")</f>
        <v/>
      </c>
      <c r="F21" s="69" t="str">
        <f aca="false">IFERROR(IF(OR($B21="",$C21&lt;10,NOT(ISNUMBER($P21)),$P21=0),"",$Q21/$P21),"")</f>
        <v/>
      </c>
      <c r="G21" s="69" t="str">
        <f aca="false">IFERROR(IF(OR(NOT(ISNUMBER($F21)),$C21&lt;3,$P21=0,NOT(ISNUMBER($R21))),"",SQRT($R21/($C21-2)/$P21)),"")</f>
        <v/>
      </c>
      <c r="H21" s="69" t="str">
        <f aca="false">IFERROR(IF(OR(NOT(ISNUMBER($F21)),NOT(ISNUMBER($G21))),"",$F21-1.96*$G21),"")</f>
        <v/>
      </c>
      <c r="I21" s="69" t="str">
        <f aca="false">IFERROR(IF(OR(NOT(ISNUMBER($F21)),NOT(ISNUMBER($G21))),"",$F21+1.96*$G21),"")</f>
        <v/>
      </c>
      <c r="J21" s="45" t="str">
        <f aca="false">IF(OR($B21="",NOT(ISNUMBER($F21))),"—",IF($C21&lt;30,"LOW",IF($I21&lt;=-1,"HIGH","MEDIUM")))</f>
        <v>—</v>
      </c>
      <c r="K21" s="70" t="str">
        <f aca="false">IF($B21="","",IF(NOT(ISNUMBER($F21)),"No matching rows in SALES_DATA — using category prior",IF($C21&lt;30,"Low sample (&lt;30 obs) — CI is wide",IF($I21&gt;-1,"CI crosses -1 — direction uncertain","OK"))))</f>
        <v/>
      </c>
      <c r="L21" s="71" t="str">
        <f aca="false">IF(ISNUMBER($F21),$F21,"")</f>
        <v/>
      </c>
      <c r="N21" s="72" t="str">
        <f aca="false">IFERROR(IF($B21="","",SUMPRODUCT((sd_item=$B21)*((sd_sample="N") + (sd_sample="Y")*(cfg_use_sample="Yes"))*sd_lnp)/SUMPRODUCT((sd_item=$B21)*((sd_sample="N") + (sd_sample="Y")*(cfg_use_sample="Yes")))),"")</f>
        <v/>
      </c>
      <c r="O21" s="72" t="str">
        <f aca="false">IFERROR(IF($B21="","",SUMPRODUCT((sd_item=$B21)*((sd_sample="N") + (sd_sample="Y")*(cfg_use_sample="Yes"))*sd_lnq)/SUMPRODUCT((sd_item=$B21)*((sd_sample="N") + (sd_sample="Y")*(cfg_use_sample="Yes")))),"")</f>
        <v/>
      </c>
      <c r="P21" s="72" t="str">
        <f aca="false">IFERROR(IF(OR($B21="",$N21=""),"",SUMPRODUCT((sd_item=$B21)*((sd_sample="N") + (sd_sample="Y")*(cfg_use_sample="Yes"))*(sd_lnp-$N21)^2)),"")</f>
        <v/>
      </c>
      <c r="Q21" s="72" t="str">
        <f aca="false">IFERROR(IF(OR($B21="",$N21=""),"",SUMPRODUCT((sd_item=$B21)*((sd_sample="N") + (sd_sample="Y")*(cfg_use_sample="Yes"))*(sd_lnp-$N21)*(sd_lnq-$O21))),"")</f>
        <v/>
      </c>
      <c r="R21" s="72" t="str">
        <f aca="false">IFERROR(IF(OR($B21="",$F21="",$F21=0,NOT(ISNUMBER($F21))),"",SUMPRODUCT((sd_item=$B21)*((sd_sample="N") + (sd_sample="Y")*(cfg_use_sample="Yes"))*(sd_lnq-$O21-$F21*(sd_lnp-$N21))^2)),"")</f>
        <v/>
      </c>
    </row>
    <row r="22" customFormat="false" ht="15" hidden="false" customHeight="true" outlineLevel="0" collapsed="false">
      <c r="A22" s="15" t="n">
        <v>17</v>
      </c>
      <c r="B22" s="41" t="str">
        <f aca="false">IF(OWNER_INPUTS!B22="","",OWNER_INPUTS!B22)</f>
        <v/>
      </c>
      <c r="C22" s="66" t="str">
        <f aca="false">IFERROR(IF($B22="","",SUMPRODUCT((sd_item=$B22)*((sd_sample="N") + (sd_sample="Y")*(cfg_use_sample="Yes"))*(sd_qty&gt;0))),"")</f>
        <v/>
      </c>
      <c r="D22" s="67" t="str">
        <f aca="false">IFERROR(IF(OR($B22="",$C22=0,$C22=""),"",SUMPRODUCT((sd_item=$B22)*((sd_sample="N") + (sd_sample="Y")*(cfg_use_sample="Yes"))*SALES_DATA!$F$6:$F$545)/$C22),"")</f>
        <v/>
      </c>
      <c r="E22" s="68" t="str">
        <f aca="false">IFERROR(IF(OR($B22="",$C22=0,$C22=""),"",SUMPRODUCT((sd_item=$B22)*((sd_sample="N") + (sd_sample="Y")*(cfg_use_sample="Yes"))*sd_qty)/$C22),"")</f>
        <v/>
      </c>
      <c r="F22" s="69" t="str">
        <f aca="false">IFERROR(IF(OR($B22="",$C22&lt;10,NOT(ISNUMBER($P22)),$P22=0),"",$Q22/$P22),"")</f>
        <v/>
      </c>
      <c r="G22" s="69" t="str">
        <f aca="false">IFERROR(IF(OR(NOT(ISNUMBER($F22)),$C22&lt;3,$P22=0,NOT(ISNUMBER($R22))),"",SQRT($R22/($C22-2)/$P22)),"")</f>
        <v/>
      </c>
      <c r="H22" s="69" t="str">
        <f aca="false">IFERROR(IF(OR(NOT(ISNUMBER($F22)),NOT(ISNUMBER($G22))),"",$F22-1.96*$G22),"")</f>
        <v/>
      </c>
      <c r="I22" s="69" t="str">
        <f aca="false">IFERROR(IF(OR(NOT(ISNUMBER($F22)),NOT(ISNUMBER($G22))),"",$F22+1.96*$G22),"")</f>
        <v/>
      </c>
      <c r="J22" s="45" t="str">
        <f aca="false">IF(OR($B22="",NOT(ISNUMBER($F22))),"—",IF($C22&lt;30,"LOW",IF($I22&lt;=-1,"HIGH","MEDIUM")))</f>
        <v>—</v>
      </c>
      <c r="K22" s="70" t="str">
        <f aca="false">IF($B22="","",IF(NOT(ISNUMBER($F22)),"No matching rows in SALES_DATA — using category prior",IF($C22&lt;30,"Low sample (&lt;30 obs) — CI is wide",IF($I22&gt;-1,"CI crosses -1 — direction uncertain","OK"))))</f>
        <v/>
      </c>
      <c r="L22" s="71" t="str">
        <f aca="false">IF(ISNUMBER($F22),$F22,"")</f>
        <v/>
      </c>
      <c r="N22" s="72" t="str">
        <f aca="false">IFERROR(IF($B22="","",SUMPRODUCT((sd_item=$B22)*((sd_sample="N") + (sd_sample="Y")*(cfg_use_sample="Yes"))*sd_lnp)/SUMPRODUCT((sd_item=$B22)*((sd_sample="N") + (sd_sample="Y")*(cfg_use_sample="Yes")))),"")</f>
        <v/>
      </c>
      <c r="O22" s="72" t="str">
        <f aca="false">IFERROR(IF($B22="","",SUMPRODUCT((sd_item=$B22)*((sd_sample="N") + (sd_sample="Y")*(cfg_use_sample="Yes"))*sd_lnq)/SUMPRODUCT((sd_item=$B22)*((sd_sample="N") + (sd_sample="Y")*(cfg_use_sample="Yes")))),"")</f>
        <v/>
      </c>
      <c r="P22" s="72" t="str">
        <f aca="false">IFERROR(IF(OR($B22="",$N22=""),"",SUMPRODUCT((sd_item=$B22)*((sd_sample="N") + (sd_sample="Y")*(cfg_use_sample="Yes"))*(sd_lnp-$N22)^2)),"")</f>
        <v/>
      </c>
      <c r="Q22" s="72" t="str">
        <f aca="false">IFERROR(IF(OR($B22="",$N22=""),"",SUMPRODUCT((sd_item=$B22)*((sd_sample="N") + (sd_sample="Y")*(cfg_use_sample="Yes"))*(sd_lnp-$N22)*(sd_lnq-$O22))),"")</f>
        <v/>
      </c>
      <c r="R22" s="72" t="str">
        <f aca="false">IFERROR(IF(OR($B22="",$F22="",$F22=0,NOT(ISNUMBER($F22))),"",SUMPRODUCT((sd_item=$B22)*((sd_sample="N") + (sd_sample="Y")*(cfg_use_sample="Yes"))*(sd_lnq-$O22-$F22*(sd_lnp-$N22))^2)),"")</f>
        <v/>
      </c>
    </row>
    <row r="23" customFormat="false" ht="15" hidden="false" customHeight="true" outlineLevel="0" collapsed="false">
      <c r="A23" s="15" t="n">
        <v>18</v>
      </c>
      <c r="B23" s="41" t="str">
        <f aca="false">IF(OWNER_INPUTS!B23="","",OWNER_INPUTS!B23)</f>
        <v/>
      </c>
      <c r="C23" s="66" t="str">
        <f aca="false">IFERROR(IF($B23="","",SUMPRODUCT((sd_item=$B23)*((sd_sample="N") + (sd_sample="Y")*(cfg_use_sample="Yes"))*(sd_qty&gt;0))),"")</f>
        <v/>
      </c>
      <c r="D23" s="67" t="str">
        <f aca="false">IFERROR(IF(OR($B23="",$C23=0,$C23=""),"",SUMPRODUCT((sd_item=$B23)*((sd_sample="N") + (sd_sample="Y")*(cfg_use_sample="Yes"))*SALES_DATA!$F$6:$F$545)/$C23),"")</f>
        <v/>
      </c>
      <c r="E23" s="68" t="str">
        <f aca="false">IFERROR(IF(OR($B23="",$C23=0,$C23=""),"",SUMPRODUCT((sd_item=$B23)*((sd_sample="N") + (sd_sample="Y")*(cfg_use_sample="Yes"))*sd_qty)/$C23),"")</f>
        <v/>
      </c>
      <c r="F23" s="69" t="str">
        <f aca="false">IFERROR(IF(OR($B23="",$C23&lt;10,NOT(ISNUMBER($P23)),$P23=0),"",$Q23/$P23),"")</f>
        <v/>
      </c>
      <c r="G23" s="69" t="str">
        <f aca="false">IFERROR(IF(OR(NOT(ISNUMBER($F23)),$C23&lt;3,$P23=0,NOT(ISNUMBER($R23))),"",SQRT($R23/($C23-2)/$P23)),"")</f>
        <v/>
      </c>
      <c r="H23" s="69" t="str">
        <f aca="false">IFERROR(IF(OR(NOT(ISNUMBER($F23)),NOT(ISNUMBER($G23))),"",$F23-1.96*$G23),"")</f>
        <v/>
      </c>
      <c r="I23" s="69" t="str">
        <f aca="false">IFERROR(IF(OR(NOT(ISNUMBER($F23)),NOT(ISNUMBER($G23))),"",$F23+1.96*$G23),"")</f>
        <v/>
      </c>
      <c r="J23" s="45" t="str">
        <f aca="false">IF(OR($B23="",NOT(ISNUMBER($F23))),"—",IF($C23&lt;30,"LOW",IF($I23&lt;=-1,"HIGH","MEDIUM")))</f>
        <v>—</v>
      </c>
      <c r="K23" s="70" t="str">
        <f aca="false">IF($B23="","",IF(NOT(ISNUMBER($F23)),"No matching rows in SALES_DATA — using category prior",IF($C23&lt;30,"Low sample (&lt;30 obs) — CI is wide",IF($I23&gt;-1,"CI crosses -1 — direction uncertain","OK"))))</f>
        <v/>
      </c>
      <c r="L23" s="71" t="str">
        <f aca="false">IF(ISNUMBER($F23),$F23,"")</f>
        <v/>
      </c>
      <c r="N23" s="72" t="str">
        <f aca="false">IFERROR(IF($B23="","",SUMPRODUCT((sd_item=$B23)*((sd_sample="N") + (sd_sample="Y")*(cfg_use_sample="Yes"))*sd_lnp)/SUMPRODUCT((sd_item=$B23)*((sd_sample="N") + (sd_sample="Y")*(cfg_use_sample="Yes")))),"")</f>
        <v/>
      </c>
      <c r="O23" s="72" t="str">
        <f aca="false">IFERROR(IF($B23="","",SUMPRODUCT((sd_item=$B23)*((sd_sample="N") + (sd_sample="Y")*(cfg_use_sample="Yes"))*sd_lnq)/SUMPRODUCT((sd_item=$B23)*((sd_sample="N") + (sd_sample="Y")*(cfg_use_sample="Yes")))),"")</f>
        <v/>
      </c>
      <c r="P23" s="72" t="str">
        <f aca="false">IFERROR(IF(OR($B23="",$N23=""),"",SUMPRODUCT((sd_item=$B23)*((sd_sample="N") + (sd_sample="Y")*(cfg_use_sample="Yes"))*(sd_lnp-$N23)^2)),"")</f>
        <v/>
      </c>
      <c r="Q23" s="72" t="str">
        <f aca="false">IFERROR(IF(OR($B23="",$N23=""),"",SUMPRODUCT((sd_item=$B23)*((sd_sample="N") + (sd_sample="Y")*(cfg_use_sample="Yes"))*(sd_lnp-$N23)*(sd_lnq-$O23))),"")</f>
        <v/>
      </c>
      <c r="R23" s="72" t="str">
        <f aca="false">IFERROR(IF(OR($B23="",$F23="",$F23=0,NOT(ISNUMBER($F23))),"",SUMPRODUCT((sd_item=$B23)*((sd_sample="N") + (sd_sample="Y")*(cfg_use_sample="Yes"))*(sd_lnq-$O23-$F23*(sd_lnp-$N23))^2)),"")</f>
        <v/>
      </c>
    </row>
    <row r="24" customFormat="false" ht="15" hidden="false" customHeight="true" outlineLevel="0" collapsed="false">
      <c r="A24" s="15" t="n">
        <v>19</v>
      </c>
      <c r="B24" s="41" t="str">
        <f aca="false">IF(OWNER_INPUTS!B24="","",OWNER_INPUTS!B24)</f>
        <v/>
      </c>
      <c r="C24" s="66" t="str">
        <f aca="false">IFERROR(IF($B24="","",SUMPRODUCT((sd_item=$B24)*((sd_sample="N") + (sd_sample="Y")*(cfg_use_sample="Yes"))*(sd_qty&gt;0))),"")</f>
        <v/>
      </c>
      <c r="D24" s="67" t="str">
        <f aca="false">IFERROR(IF(OR($B24="",$C24=0,$C24=""),"",SUMPRODUCT((sd_item=$B24)*((sd_sample="N") + (sd_sample="Y")*(cfg_use_sample="Yes"))*SALES_DATA!$F$6:$F$545)/$C24),"")</f>
        <v/>
      </c>
      <c r="E24" s="68" t="str">
        <f aca="false">IFERROR(IF(OR($B24="",$C24=0,$C24=""),"",SUMPRODUCT((sd_item=$B24)*((sd_sample="N") + (sd_sample="Y")*(cfg_use_sample="Yes"))*sd_qty)/$C24),"")</f>
        <v/>
      </c>
      <c r="F24" s="69" t="str">
        <f aca="false">IFERROR(IF(OR($B24="",$C24&lt;10,NOT(ISNUMBER($P24)),$P24=0),"",$Q24/$P24),"")</f>
        <v/>
      </c>
      <c r="G24" s="69" t="str">
        <f aca="false">IFERROR(IF(OR(NOT(ISNUMBER($F24)),$C24&lt;3,$P24=0,NOT(ISNUMBER($R24))),"",SQRT($R24/($C24-2)/$P24)),"")</f>
        <v/>
      </c>
      <c r="H24" s="69" t="str">
        <f aca="false">IFERROR(IF(OR(NOT(ISNUMBER($F24)),NOT(ISNUMBER($G24))),"",$F24-1.96*$G24),"")</f>
        <v/>
      </c>
      <c r="I24" s="69" t="str">
        <f aca="false">IFERROR(IF(OR(NOT(ISNUMBER($F24)),NOT(ISNUMBER($G24))),"",$F24+1.96*$G24),"")</f>
        <v/>
      </c>
      <c r="J24" s="45" t="str">
        <f aca="false">IF(OR($B24="",NOT(ISNUMBER($F24))),"—",IF($C24&lt;30,"LOW",IF($I24&lt;=-1,"HIGH","MEDIUM")))</f>
        <v>—</v>
      </c>
      <c r="K24" s="70" t="str">
        <f aca="false">IF($B24="","",IF(NOT(ISNUMBER($F24)),"No matching rows in SALES_DATA — using category prior",IF($C24&lt;30,"Low sample (&lt;30 obs) — CI is wide",IF($I24&gt;-1,"CI crosses -1 — direction uncertain","OK"))))</f>
        <v/>
      </c>
      <c r="L24" s="71" t="str">
        <f aca="false">IF(ISNUMBER($F24),$F24,"")</f>
        <v/>
      </c>
      <c r="N24" s="72" t="str">
        <f aca="false">IFERROR(IF($B24="","",SUMPRODUCT((sd_item=$B24)*((sd_sample="N") + (sd_sample="Y")*(cfg_use_sample="Yes"))*sd_lnp)/SUMPRODUCT((sd_item=$B24)*((sd_sample="N") + (sd_sample="Y")*(cfg_use_sample="Yes")))),"")</f>
        <v/>
      </c>
      <c r="O24" s="72" t="str">
        <f aca="false">IFERROR(IF($B24="","",SUMPRODUCT((sd_item=$B24)*((sd_sample="N") + (sd_sample="Y")*(cfg_use_sample="Yes"))*sd_lnq)/SUMPRODUCT((sd_item=$B24)*((sd_sample="N") + (sd_sample="Y")*(cfg_use_sample="Yes")))),"")</f>
        <v/>
      </c>
      <c r="P24" s="72" t="str">
        <f aca="false">IFERROR(IF(OR($B24="",$N24=""),"",SUMPRODUCT((sd_item=$B24)*((sd_sample="N") + (sd_sample="Y")*(cfg_use_sample="Yes"))*(sd_lnp-$N24)^2)),"")</f>
        <v/>
      </c>
      <c r="Q24" s="72" t="str">
        <f aca="false">IFERROR(IF(OR($B24="",$N24=""),"",SUMPRODUCT((sd_item=$B24)*((sd_sample="N") + (sd_sample="Y")*(cfg_use_sample="Yes"))*(sd_lnp-$N24)*(sd_lnq-$O24))),"")</f>
        <v/>
      </c>
      <c r="R24" s="72" t="str">
        <f aca="false">IFERROR(IF(OR($B24="",$F24="",$F24=0,NOT(ISNUMBER($F24))),"",SUMPRODUCT((sd_item=$B24)*((sd_sample="N") + (sd_sample="Y")*(cfg_use_sample="Yes"))*(sd_lnq-$O24-$F24*(sd_lnp-$N24))^2)),"")</f>
        <v/>
      </c>
    </row>
    <row r="25" customFormat="false" ht="15" hidden="false" customHeight="true" outlineLevel="0" collapsed="false">
      <c r="A25" s="15" t="n">
        <v>20</v>
      </c>
      <c r="B25" s="41" t="str">
        <f aca="false">IF(OWNER_INPUTS!B25="","",OWNER_INPUTS!B25)</f>
        <v/>
      </c>
      <c r="C25" s="66" t="str">
        <f aca="false">IFERROR(IF($B25="","",SUMPRODUCT((sd_item=$B25)*((sd_sample="N") + (sd_sample="Y")*(cfg_use_sample="Yes"))*(sd_qty&gt;0))),"")</f>
        <v/>
      </c>
      <c r="D25" s="67" t="str">
        <f aca="false">IFERROR(IF(OR($B25="",$C25=0,$C25=""),"",SUMPRODUCT((sd_item=$B25)*((sd_sample="N") + (sd_sample="Y")*(cfg_use_sample="Yes"))*SALES_DATA!$F$6:$F$545)/$C25),"")</f>
        <v/>
      </c>
      <c r="E25" s="68" t="str">
        <f aca="false">IFERROR(IF(OR($B25="",$C25=0,$C25=""),"",SUMPRODUCT((sd_item=$B25)*((sd_sample="N") + (sd_sample="Y")*(cfg_use_sample="Yes"))*sd_qty)/$C25),"")</f>
        <v/>
      </c>
      <c r="F25" s="69" t="str">
        <f aca="false">IFERROR(IF(OR($B25="",$C25&lt;10,NOT(ISNUMBER($P25)),$P25=0),"",$Q25/$P25),"")</f>
        <v/>
      </c>
      <c r="G25" s="69" t="str">
        <f aca="false">IFERROR(IF(OR(NOT(ISNUMBER($F25)),$C25&lt;3,$P25=0,NOT(ISNUMBER($R25))),"",SQRT($R25/($C25-2)/$P25)),"")</f>
        <v/>
      </c>
      <c r="H25" s="69" t="str">
        <f aca="false">IFERROR(IF(OR(NOT(ISNUMBER($F25)),NOT(ISNUMBER($G25))),"",$F25-1.96*$G25),"")</f>
        <v/>
      </c>
      <c r="I25" s="69" t="str">
        <f aca="false">IFERROR(IF(OR(NOT(ISNUMBER($F25)),NOT(ISNUMBER($G25))),"",$F25+1.96*$G25),"")</f>
        <v/>
      </c>
      <c r="J25" s="45" t="str">
        <f aca="false">IF(OR($B25="",NOT(ISNUMBER($F25))),"—",IF($C25&lt;30,"LOW",IF($I25&lt;=-1,"HIGH","MEDIUM")))</f>
        <v>—</v>
      </c>
      <c r="K25" s="70" t="str">
        <f aca="false">IF($B25="","",IF(NOT(ISNUMBER($F25)),"No matching rows in SALES_DATA — using category prior",IF($C25&lt;30,"Low sample (&lt;30 obs) — CI is wide",IF($I25&gt;-1,"CI crosses -1 — direction uncertain","OK"))))</f>
        <v/>
      </c>
      <c r="L25" s="71" t="str">
        <f aca="false">IF(ISNUMBER($F25),$F25,"")</f>
        <v/>
      </c>
      <c r="N25" s="72" t="str">
        <f aca="false">IFERROR(IF($B25="","",SUMPRODUCT((sd_item=$B25)*((sd_sample="N") + (sd_sample="Y")*(cfg_use_sample="Yes"))*sd_lnp)/SUMPRODUCT((sd_item=$B25)*((sd_sample="N") + (sd_sample="Y")*(cfg_use_sample="Yes")))),"")</f>
        <v/>
      </c>
      <c r="O25" s="72" t="str">
        <f aca="false">IFERROR(IF($B25="","",SUMPRODUCT((sd_item=$B25)*((sd_sample="N") + (sd_sample="Y")*(cfg_use_sample="Yes"))*sd_lnq)/SUMPRODUCT((sd_item=$B25)*((sd_sample="N") + (sd_sample="Y")*(cfg_use_sample="Yes")))),"")</f>
        <v/>
      </c>
      <c r="P25" s="72" t="str">
        <f aca="false">IFERROR(IF(OR($B25="",$N25=""),"",SUMPRODUCT((sd_item=$B25)*((sd_sample="N") + (sd_sample="Y")*(cfg_use_sample="Yes"))*(sd_lnp-$N25)^2)),"")</f>
        <v/>
      </c>
      <c r="Q25" s="72" t="str">
        <f aca="false">IFERROR(IF(OR($B25="",$N25=""),"",SUMPRODUCT((sd_item=$B25)*((sd_sample="N") + (sd_sample="Y")*(cfg_use_sample="Yes"))*(sd_lnp-$N25)*(sd_lnq-$O25))),"")</f>
        <v/>
      </c>
      <c r="R25" s="72" t="str">
        <f aca="false">IFERROR(IF(OR($B25="",$F25="",$F25=0,NOT(ISNUMBER($F25))),"",SUMPRODUCT((sd_item=$B25)*((sd_sample="N") + (sd_sample="Y")*(cfg_use_sample="Yes"))*(sd_lnq-$O25-$F25*(sd_lnp-$N25))^2)),"")</f>
        <v/>
      </c>
    </row>
    <row r="26" customFormat="false" ht="15" hidden="false" customHeight="true" outlineLevel="0" collapsed="false">
      <c r="A26" s="15" t="n">
        <v>21</v>
      </c>
      <c r="B26" s="41" t="str">
        <f aca="false">IF(OWNER_INPUTS!B26="","",OWNER_INPUTS!B26)</f>
        <v/>
      </c>
      <c r="C26" s="66" t="str">
        <f aca="false">IFERROR(IF($B26="","",SUMPRODUCT((sd_item=$B26)*((sd_sample="N") + (sd_sample="Y")*(cfg_use_sample="Yes"))*(sd_qty&gt;0))),"")</f>
        <v/>
      </c>
      <c r="D26" s="67" t="str">
        <f aca="false">IFERROR(IF(OR($B26="",$C26=0,$C26=""),"",SUMPRODUCT((sd_item=$B26)*((sd_sample="N") + (sd_sample="Y")*(cfg_use_sample="Yes"))*SALES_DATA!$F$6:$F$545)/$C26),"")</f>
        <v/>
      </c>
      <c r="E26" s="68" t="str">
        <f aca="false">IFERROR(IF(OR($B26="",$C26=0,$C26=""),"",SUMPRODUCT((sd_item=$B26)*((sd_sample="N") + (sd_sample="Y")*(cfg_use_sample="Yes"))*sd_qty)/$C26),"")</f>
        <v/>
      </c>
      <c r="F26" s="69" t="str">
        <f aca="false">IFERROR(IF(OR($B26="",$C26&lt;10,NOT(ISNUMBER($P26)),$P26=0),"",$Q26/$P26),"")</f>
        <v/>
      </c>
      <c r="G26" s="69" t="str">
        <f aca="false">IFERROR(IF(OR(NOT(ISNUMBER($F26)),$C26&lt;3,$P26=0,NOT(ISNUMBER($R26))),"",SQRT($R26/($C26-2)/$P26)),"")</f>
        <v/>
      </c>
      <c r="H26" s="69" t="str">
        <f aca="false">IFERROR(IF(OR(NOT(ISNUMBER($F26)),NOT(ISNUMBER($G26))),"",$F26-1.96*$G26),"")</f>
        <v/>
      </c>
      <c r="I26" s="69" t="str">
        <f aca="false">IFERROR(IF(OR(NOT(ISNUMBER($F26)),NOT(ISNUMBER($G26))),"",$F26+1.96*$G26),"")</f>
        <v/>
      </c>
      <c r="J26" s="45" t="str">
        <f aca="false">IF(OR($B26="",NOT(ISNUMBER($F26))),"—",IF($C26&lt;30,"LOW",IF($I26&lt;=-1,"HIGH","MEDIUM")))</f>
        <v>—</v>
      </c>
      <c r="K26" s="70" t="str">
        <f aca="false">IF($B26="","",IF(NOT(ISNUMBER($F26)),"No matching rows in SALES_DATA — using category prior",IF($C26&lt;30,"Low sample (&lt;30 obs) — CI is wide",IF($I26&gt;-1,"CI crosses -1 — direction uncertain","OK"))))</f>
        <v/>
      </c>
      <c r="L26" s="71" t="str">
        <f aca="false">IF(ISNUMBER($F26),$F26,"")</f>
        <v/>
      </c>
      <c r="N26" s="72" t="str">
        <f aca="false">IFERROR(IF($B26="","",SUMPRODUCT((sd_item=$B26)*((sd_sample="N") + (sd_sample="Y")*(cfg_use_sample="Yes"))*sd_lnp)/SUMPRODUCT((sd_item=$B26)*((sd_sample="N") + (sd_sample="Y")*(cfg_use_sample="Yes")))),"")</f>
        <v/>
      </c>
      <c r="O26" s="72" t="str">
        <f aca="false">IFERROR(IF($B26="","",SUMPRODUCT((sd_item=$B26)*((sd_sample="N") + (sd_sample="Y")*(cfg_use_sample="Yes"))*sd_lnq)/SUMPRODUCT((sd_item=$B26)*((sd_sample="N") + (sd_sample="Y")*(cfg_use_sample="Yes")))),"")</f>
        <v/>
      </c>
      <c r="P26" s="72" t="str">
        <f aca="false">IFERROR(IF(OR($B26="",$N26=""),"",SUMPRODUCT((sd_item=$B26)*((sd_sample="N") + (sd_sample="Y")*(cfg_use_sample="Yes"))*(sd_lnp-$N26)^2)),"")</f>
        <v/>
      </c>
      <c r="Q26" s="72" t="str">
        <f aca="false">IFERROR(IF(OR($B26="",$N26=""),"",SUMPRODUCT((sd_item=$B26)*((sd_sample="N") + (sd_sample="Y")*(cfg_use_sample="Yes"))*(sd_lnp-$N26)*(sd_lnq-$O26))),"")</f>
        <v/>
      </c>
      <c r="R26" s="72" t="str">
        <f aca="false">IFERROR(IF(OR($B26="",$F26="",$F26=0,NOT(ISNUMBER($F26))),"",SUMPRODUCT((sd_item=$B26)*((sd_sample="N") + (sd_sample="Y")*(cfg_use_sample="Yes"))*(sd_lnq-$O26-$F26*(sd_lnp-$N26))^2)),"")</f>
        <v/>
      </c>
    </row>
    <row r="27" customFormat="false" ht="15" hidden="false" customHeight="true" outlineLevel="0" collapsed="false">
      <c r="A27" s="15" t="n">
        <v>22</v>
      </c>
      <c r="B27" s="41" t="str">
        <f aca="false">IF(OWNER_INPUTS!B27="","",OWNER_INPUTS!B27)</f>
        <v/>
      </c>
      <c r="C27" s="66" t="str">
        <f aca="false">IFERROR(IF($B27="","",SUMPRODUCT((sd_item=$B27)*((sd_sample="N") + (sd_sample="Y")*(cfg_use_sample="Yes"))*(sd_qty&gt;0))),"")</f>
        <v/>
      </c>
      <c r="D27" s="67" t="str">
        <f aca="false">IFERROR(IF(OR($B27="",$C27=0,$C27=""),"",SUMPRODUCT((sd_item=$B27)*((sd_sample="N") + (sd_sample="Y")*(cfg_use_sample="Yes"))*SALES_DATA!$F$6:$F$545)/$C27),"")</f>
        <v/>
      </c>
      <c r="E27" s="68" t="str">
        <f aca="false">IFERROR(IF(OR($B27="",$C27=0,$C27=""),"",SUMPRODUCT((sd_item=$B27)*((sd_sample="N") + (sd_sample="Y")*(cfg_use_sample="Yes"))*sd_qty)/$C27),"")</f>
        <v/>
      </c>
      <c r="F27" s="69" t="str">
        <f aca="false">IFERROR(IF(OR($B27="",$C27&lt;10,NOT(ISNUMBER($P27)),$P27=0),"",$Q27/$P27),"")</f>
        <v/>
      </c>
      <c r="G27" s="69" t="str">
        <f aca="false">IFERROR(IF(OR(NOT(ISNUMBER($F27)),$C27&lt;3,$P27=0,NOT(ISNUMBER($R27))),"",SQRT($R27/($C27-2)/$P27)),"")</f>
        <v/>
      </c>
      <c r="H27" s="69" t="str">
        <f aca="false">IFERROR(IF(OR(NOT(ISNUMBER($F27)),NOT(ISNUMBER($G27))),"",$F27-1.96*$G27),"")</f>
        <v/>
      </c>
      <c r="I27" s="69" t="str">
        <f aca="false">IFERROR(IF(OR(NOT(ISNUMBER($F27)),NOT(ISNUMBER($G27))),"",$F27+1.96*$G27),"")</f>
        <v/>
      </c>
      <c r="J27" s="45" t="str">
        <f aca="false">IF(OR($B27="",NOT(ISNUMBER($F27))),"—",IF($C27&lt;30,"LOW",IF($I27&lt;=-1,"HIGH","MEDIUM")))</f>
        <v>—</v>
      </c>
      <c r="K27" s="70" t="str">
        <f aca="false">IF($B27="","",IF(NOT(ISNUMBER($F27)),"No matching rows in SALES_DATA — using category prior",IF($C27&lt;30,"Low sample (&lt;30 obs) — CI is wide",IF($I27&gt;-1,"CI crosses -1 — direction uncertain","OK"))))</f>
        <v/>
      </c>
      <c r="L27" s="71" t="str">
        <f aca="false">IF(ISNUMBER($F27),$F27,"")</f>
        <v/>
      </c>
      <c r="N27" s="72" t="str">
        <f aca="false">IFERROR(IF($B27="","",SUMPRODUCT((sd_item=$B27)*((sd_sample="N") + (sd_sample="Y")*(cfg_use_sample="Yes"))*sd_lnp)/SUMPRODUCT((sd_item=$B27)*((sd_sample="N") + (sd_sample="Y")*(cfg_use_sample="Yes")))),"")</f>
        <v/>
      </c>
      <c r="O27" s="72" t="str">
        <f aca="false">IFERROR(IF($B27="","",SUMPRODUCT((sd_item=$B27)*((sd_sample="N") + (sd_sample="Y")*(cfg_use_sample="Yes"))*sd_lnq)/SUMPRODUCT((sd_item=$B27)*((sd_sample="N") + (sd_sample="Y")*(cfg_use_sample="Yes")))),"")</f>
        <v/>
      </c>
      <c r="P27" s="72" t="str">
        <f aca="false">IFERROR(IF(OR($B27="",$N27=""),"",SUMPRODUCT((sd_item=$B27)*((sd_sample="N") + (sd_sample="Y")*(cfg_use_sample="Yes"))*(sd_lnp-$N27)^2)),"")</f>
        <v/>
      </c>
      <c r="Q27" s="72" t="str">
        <f aca="false">IFERROR(IF(OR($B27="",$N27=""),"",SUMPRODUCT((sd_item=$B27)*((sd_sample="N") + (sd_sample="Y")*(cfg_use_sample="Yes"))*(sd_lnp-$N27)*(sd_lnq-$O27))),"")</f>
        <v/>
      </c>
      <c r="R27" s="72" t="str">
        <f aca="false">IFERROR(IF(OR($B27="",$F27="",$F27=0,NOT(ISNUMBER($F27))),"",SUMPRODUCT((sd_item=$B27)*((sd_sample="N") + (sd_sample="Y")*(cfg_use_sample="Yes"))*(sd_lnq-$O27-$F27*(sd_lnp-$N27))^2)),"")</f>
        <v/>
      </c>
    </row>
    <row r="28" customFormat="false" ht="15" hidden="false" customHeight="true" outlineLevel="0" collapsed="false">
      <c r="A28" s="15" t="n">
        <v>23</v>
      </c>
      <c r="B28" s="41" t="str">
        <f aca="false">IF(OWNER_INPUTS!B28="","",OWNER_INPUTS!B28)</f>
        <v/>
      </c>
      <c r="C28" s="66" t="str">
        <f aca="false">IFERROR(IF($B28="","",SUMPRODUCT((sd_item=$B28)*((sd_sample="N") + (sd_sample="Y")*(cfg_use_sample="Yes"))*(sd_qty&gt;0))),"")</f>
        <v/>
      </c>
      <c r="D28" s="67" t="str">
        <f aca="false">IFERROR(IF(OR($B28="",$C28=0,$C28=""),"",SUMPRODUCT((sd_item=$B28)*((sd_sample="N") + (sd_sample="Y")*(cfg_use_sample="Yes"))*SALES_DATA!$F$6:$F$545)/$C28),"")</f>
        <v/>
      </c>
      <c r="E28" s="68" t="str">
        <f aca="false">IFERROR(IF(OR($B28="",$C28=0,$C28=""),"",SUMPRODUCT((sd_item=$B28)*((sd_sample="N") + (sd_sample="Y")*(cfg_use_sample="Yes"))*sd_qty)/$C28),"")</f>
        <v/>
      </c>
      <c r="F28" s="69" t="str">
        <f aca="false">IFERROR(IF(OR($B28="",$C28&lt;10,NOT(ISNUMBER($P28)),$P28=0),"",$Q28/$P28),"")</f>
        <v/>
      </c>
      <c r="G28" s="69" t="str">
        <f aca="false">IFERROR(IF(OR(NOT(ISNUMBER($F28)),$C28&lt;3,$P28=0,NOT(ISNUMBER($R28))),"",SQRT($R28/($C28-2)/$P28)),"")</f>
        <v/>
      </c>
      <c r="H28" s="69" t="str">
        <f aca="false">IFERROR(IF(OR(NOT(ISNUMBER($F28)),NOT(ISNUMBER($G28))),"",$F28-1.96*$G28),"")</f>
        <v/>
      </c>
      <c r="I28" s="69" t="str">
        <f aca="false">IFERROR(IF(OR(NOT(ISNUMBER($F28)),NOT(ISNUMBER($G28))),"",$F28+1.96*$G28),"")</f>
        <v/>
      </c>
      <c r="J28" s="45" t="str">
        <f aca="false">IF(OR($B28="",NOT(ISNUMBER($F28))),"—",IF($C28&lt;30,"LOW",IF($I28&lt;=-1,"HIGH","MEDIUM")))</f>
        <v>—</v>
      </c>
      <c r="K28" s="70" t="str">
        <f aca="false">IF($B28="","",IF(NOT(ISNUMBER($F28)),"No matching rows in SALES_DATA — using category prior",IF($C28&lt;30,"Low sample (&lt;30 obs) — CI is wide",IF($I28&gt;-1,"CI crosses -1 — direction uncertain","OK"))))</f>
        <v/>
      </c>
      <c r="L28" s="71" t="str">
        <f aca="false">IF(ISNUMBER($F28),$F28,"")</f>
        <v/>
      </c>
      <c r="N28" s="72" t="str">
        <f aca="false">IFERROR(IF($B28="","",SUMPRODUCT((sd_item=$B28)*((sd_sample="N") + (sd_sample="Y")*(cfg_use_sample="Yes"))*sd_lnp)/SUMPRODUCT((sd_item=$B28)*((sd_sample="N") + (sd_sample="Y")*(cfg_use_sample="Yes")))),"")</f>
        <v/>
      </c>
      <c r="O28" s="72" t="str">
        <f aca="false">IFERROR(IF($B28="","",SUMPRODUCT((sd_item=$B28)*((sd_sample="N") + (sd_sample="Y")*(cfg_use_sample="Yes"))*sd_lnq)/SUMPRODUCT((sd_item=$B28)*((sd_sample="N") + (sd_sample="Y")*(cfg_use_sample="Yes")))),"")</f>
        <v/>
      </c>
      <c r="P28" s="72" t="str">
        <f aca="false">IFERROR(IF(OR($B28="",$N28=""),"",SUMPRODUCT((sd_item=$B28)*((sd_sample="N") + (sd_sample="Y")*(cfg_use_sample="Yes"))*(sd_lnp-$N28)^2)),"")</f>
        <v/>
      </c>
      <c r="Q28" s="72" t="str">
        <f aca="false">IFERROR(IF(OR($B28="",$N28=""),"",SUMPRODUCT((sd_item=$B28)*((sd_sample="N") + (sd_sample="Y")*(cfg_use_sample="Yes"))*(sd_lnp-$N28)*(sd_lnq-$O28))),"")</f>
        <v/>
      </c>
      <c r="R28" s="72" t="str">
        <f aca="false">IFERROR(IF(OR($B28="",$F28="",$F28=0,NOT(ISNUMBER($F28))),"",SUMPRODUCT((sd_item=$B28)*((sd_sample="N") + (sd_sample="Y")*(cfg_use_sample="Yes"))*(sd_lnq-$O28-$F28*(sd_lnp-$N28))^2)),"")</f>
        <v/>
      </c>
    </row>
    <row r="29" customFormat="false" ht="15" hidden="false" customHeight="true" outlineLevel="0" collapsed="false">
      <c r="A29" s="15" t="n">
        <v>24</v>
      </c>
      <c r="B29" s="41" t="str">
        <f aca="false">IF(OWNER_INPUTS!B29="","",OWNER_INPUTS!B29)</f>
        <v/>
      </c>
      <c r="C29" s="66" t="str">
        <f aca="false">IFERROR(IF($B29="","",SUMPRODUCT((sd_item=$B29)*((sd_sample="N") + (sd_sample="Y")*(cfg_use_sample="Yes"))*(sd_qty&gt;0))),"")</f>
        <v/>
      </c>
      <c r="D29" s="67" t="str">
        <f aca="false">IFERROR(IF(OR($B29="",$C29=0,$C29=""),"",SUMPRODUCT((sd_item=$B29)*((sd_sample="N") + (sd_sample="Y")*(cfg_use_sample="Yes"))*SALES_DATA!$F$6:$F$545)/$C29),"")</f>
        <v/>
      </c>
      <c r="E29" s="68" t="str">
        <f aca="false">IFERROR(IF(OR($B29="",$C29=0,$C29=""),"",SUMPRODUCT((sd_item=$B29)*((sd_sample="N") + (sd_sample="Y")*(cfg_use_sample="Yes"))*sd_qty)/$C29),"")</f>
        <v/>
      </c>
      <c r="F29" s="69" t="str">
        <f aca="false">IFERROR(IF(OR($B29="",$C29&lt;10,NOT(ISNUMBER($P29)),$P29=0),"",$Q29/$P29),"")</f>
        <v/>
      </c>
      <c r="G29" s="69" t="str">
        <f aca="false">IFERROR(IF(OR(NOT(ISNUMBER($F29)),$C29&lt;3,$P29=0,NOT(ISNUMBER($R29))),"",SQRT($R29/($C29-2)/$P29)),"")</f>
        <v/>
      </c>
      <c r="H29" s="69" t="str">
        <f aca="false">IFERROR(IF(OR(NOT(ISNUMBER($F29)),NOT(ISNUMBER($G29))),"",$F29-1.96*$G29),"")</f>
        <v/>
      </c>
      <c r="I29" s="69" t="str">
        <f aca="false">IFERROR(IF(OR(NOT(ISNUMBER($F29)),NOT(ISNUMBER($G29))),"",$F29+1.96*$G29),"")</f>
        <v/>
      </c>
      <c r="J29" s="45" t="str">
        <f aca="false">IF(OR($B29="",NOT(ISNUMBER($F29))),"—",IF($C29&lt;30,"LOW",IF($I29&lt;=-1,"HIGH","MEDIUM")))</f>
        <v>—</v>
      </c>
      <c r="K29" s="70" t="str">
        <f aca="false">IF($B29="","",IF(NOT(ISNUMBER($F29)),"No matching rows in SALES_DATA — using category prior",IF($C29&lt;30,"Low sample (&lt;30 obs) — CI is wide",IF($I29&gt;-1,"CI crosses -1 — direction uncertain","OK"))))</f>
        <v/>
      </c>
      <c r="L29" s="71" t="str">
        <f aca="false">IF(ISNUMBER($F29),$F29,"")</f>
        <v/>
      </c>
      <c r="N29" s="72" t="str">
        <f aca="false">IFERROR(IF($B29="","",SUMPRODUCT((sd_item=$B29)*((sd_sample="N") + (sd_sample="Y")*(cfg_use_sample="Yes"))*sd_lnp)/SUMPRODUCT((sd_item=$B29)*((sd_sample="N") + (sd_sample="Y")*(cfg_use_sample="Yes")))),"")</f>
        <v/>
      </c>
      <c r="O29" s="72" t="str">
        <f aca="false">IFERROR(IF($B29="","",SUMPRODUCT((sd_item=$B29)*((sd_sample="N") + (sd_sample="Y")*(cfg_use_sample="Yes"))*sd_lnq)/SUMPRODUCT((sd_item=$B29)*((sd_sample="N") + (sd_sample="Y")*(cfg_use_sample="Yes")))),"")</f>
        <v/>
      </c>
      <c r="P29" s="72" t="str">
        <f aca="false">IFERROR(IF(OR($B29="",$N29=""),"",SUMPRODUCT((sd_item=$B29)*((sd_sample="N") + (sd_sample="Y")*(cfg_use_sample="Yes"))*(sd_lnp-$N29)^2)),"")</f>
        <v/>
      </c>
      <c r="Q29" s="72" t="str">
        <f aca="false">IFERROR(IF(OR($B29="",$N29=""),"",SUMPRODUCT((sd_item=$B29)*((sd_sample="N") + (sd_sample="Y")*(cfg_use_sample="Yes"))*(sd_lnp-$N29)*(sd_lnq-$O29))),"")</f>
        <v/>
      </c>
      <c r="R29" s="72" t="str">
        <f aca="false">IFERROR(IF(OR($B29="",$F29="",$F29=0,NOT(ISNUMBER($F29))),"",SUMPRODUCT((sd_item=$B29)*((sd_sample="N") + (sd_sample="Y")*(cfg_use_sample="Yes"))*(sd_lnq-$O29-$F29*(sd_lnp-$N29))^2)),"")</f>
        <v/>
      </c>
    </row>
    <row r="30" customFormat="false" ht="15" hidden="false" customHeight="true" outlineLevel="0" collapsed="false">
      <c r="A30" s="15" t="n">
        <v>25</v>
      </c>
      <c r="B30" s="41" t="str">
        <f aca="false">IF(OWNER_INPUTS!B30="","",OWNER_INPUTS!B30)</f>
        <v/>
      </c>
      <c r="C30" s="66" t="str">
        <f aca="false">IFERROR(IF($B30="","",SUMPRODUCT((sd_item=$B30)*((sd_sample="N") + (sd_sample="Y")*(cfg_use_sample="Yes"))*(sd_qty&gt;0))),"")</f>
        <v/>
      </c>
      <c r="D30" s="67" t="str">
        <f aca="false">IFERROR(IF(OR($B30="",$C30=0,$C30=""),"",SUMPRODUCT((sd_item=$B30)*((sd_sample="N") + (sd_sample="Y")*(cfg_use_sample="Yes"))*SALES_DATA!$F$6:$F$545)/$C30),"")</f>
        <v/>
      </c>
      <c r="E30" s="68" t="str">
        <f aca="false">IFERROR(IF(OR($B30="",$C30=0,$C30=""),"",SUMPRODUCT((sd_item=$B30)*((sd_sample="N") + (sd_sample="Y")*(cfg_use_sample="Yes"))*sd_qty)/$C30),"")</f>
        <v/>
      </c>
      <c r="F30" s="69" t="str">
        <f aca="false">IFERROR(IF(OR($B30="",$C30&lt;10,NOT(ISNUMBER($P30)),$P30=0),"",$Q30/$P30),"")</f>
        <v/>
      </c>
      <c r="G30" s="69" t="str">
        <f aca="false">IFERROR(IF(OR(NOT(ISNUMBER($F30)),$C30&lt;3,$P30=0,NOT(ISNUMBER($R30))),"",SQRT($R30/($C30-2)/$P30)),"")</f>
        <v/>
      </c>
      <c r="H30" s="69" t="str">
        <f aca="false">IFERROR(IF(OR(NOT(ISNUMBER($F30)),NOT(ISNUMBER($G30))),"",$F30-1.96*$G30),"")</f>
        <v/>
      </c>
      <c r="I30" s="69" t="str">
        <f aca="false">IFERROR(IF(OR(NOT(ISNUMBER($F30)),NOT(ISNUMBER($G30))),"",$F30+1.96*$G30),"")</f>
        <v/>
      </c>
      <c r="J30" s="45" t="str">
        <f aca="false">IF(OR($B30="",NOT(ISNUMBER($F30))),"—",IF($C30&lt;30,"LOW",IF($I30&lt;=-1,"HIGH","MEDIUM")))</f>
        <v>—</v>
      </c>
      <c r="K30" s="70" t="str">
        <f aca="false">IF($B30="","",IF(NOT(ISNUMBER($F30)),"No matching rows in SALES_DATA — using category prior",IF($C30&lt;30,"Low sample (&lt;30 obs) — CI is wide",IF($I30&gt;-1,"CI crosses -1 — direction uncertain","OK"))))</f>
        <v/>
      </c>
      <c r="L30" s="71" t="str">
        <f aca="false">IF(ISNUMBER($F30),$F30,"")</f>
        <v/>
      </c>
      <c r="N30" s="72" t="str">
        <f aca="false">IFERROR(IF($B30="","",SUMPRODUCT((sd_item=$B30)*((sd_sample="N") + (sd_sample="Y")*(cfg_use_sample="Yes"))*sd_lnp)/SUMPRODUCT((sd_item=$B30)*((sd_sample="N") + (sd_sample="Y")*(cfg_use_sample="Yes")))),"")</f>
        <v/>
      </c>
      <c r="O30" s="72" t="str">
        <f aca="false">IFERROR(IF($B30="","",SUMPRODUCT((sd_item=$B30)*((sd_sample="N") + (sd_sample="Y")*(cfg_use_sample="Yes"))*sd_lnq)/SUMPRODUCT((sd_item=$B30)*((sd_sample="N") + (sd_sample="Y")*(cfg_use_sample="Yes")))),"")</f>
        <v/>
      </c>
      <c r="P30" s="72" t="str">
        <f aca="false">IFERROR(IF(OR($B30="",$N30=""),"",SUMPRODUCT((sd_item=$B30)*((sd_sample="N") + (sd_sample="Y")*(cfg_use_sample="Yes"))*(sd_lnp-$N30)^2)),"")</f>
        <v/>
      </c>
      <c r="Q30" s="72" t="str">
        <f aca="false">IFERROR(IF(OR($B30="",$N30=""),"",SUMPRODUCT((sd_item=$B30)*((sd_sample="N") + (sd_sample="Y")*(cfg_use_sample="Yes"))*(sd_lnp-$N30)*(sd_lnq-$O30))),"")</f>
        <v/>
      </c>
      <c r="R30" s="72" t="str">
        <f aca="false">IFERROR(IF(OR($B30="",$F30="",$F30=0,NOT(ISNUMBER($F30))),"",SUMPRODUCT((sd_item=$B30)*((sd_sample="N") + (sd_sample="Y")*(cfg_use_sample="Yes"))*(sd_lnq-$O30-$F30*(sd_lnp-$N30))^2)),"")</f>
        <v/>
      </c>
    </row>
    <row r="31" customFormat="false" ht="15" hidden="false" customHeight="true" outlineLevel="0" collapsed="false">
      <c r="A31" s="15" t="n">
        <v>26</v>
      </c>
      <c r="B31" s="41" t="str">
        <f aca="false">IF(OWNER_INPUTS!B31="","",OWNER_INPUTS!B31)</f>
        <v/>
      </c>
      <c r="C31" s="66" t="str">
        <f aca="false">IFERROR(IF($B31="","",SUMPRODUCT((sd_item=$B31)*((sd_sample="N") + (sd_sample="Y")*(cfg_use_sample="Yes"))*(sd_qty&gt;0))),"")</f>
        <v/>
      </c>
      <c r="D31" s="67" t="str">
        <f aca="false">IFERROR(IF(OR($B31="",$C31=0,$C31=""),"",SUMPRODUCT((sd_item=$B31)*((sd_sample="N") + (sd_sample="Y")*(cfg_use_sample="Yes"))*SALES_DATA!$F$6:$F$545)/$C31),"")</f>
        <v/>
      </c>
      <c r="E31" s="68" t="str">
        <f aca="false">IFERROR(IF(OR($B31="",$C31=0,$C31=""),"",SUMPRODUCT((sd_item=$B31)*((sd_sample="N") + (sd_sample="Y")*(cfg_use_sample="Yes"))*sd_qty)/$C31),"")</f>
        <v/>
      </c>
      <c r="F31" s="69" t="str">
        <f aca="false">IFERROR(IF(OR($B31="",$C31&lt;10,NOT(ISNUMBER($P31)),$P31=0),"",$Q31/$P31),"")</f>
        <v/>
      </c>
      <c r="G31" s="69" t="str">
        <f aca="false">IFERROR(IF(OR(NOT(ISNUMBER($F31)),$C31&lt;3,$P31=0,NOT(ISNUMBER($R31))),"",SQRT($R31/($C31-2)/$P31)),"")</f>
        <v/>
      </c>
      <c r="H31" s="69" t="str">
        <f aca="false">IFERROR(IF(OR(NOT(ISNUMBER($F31)),NOT(ISNUMBER($G31))),"",$F31-1.96*$G31),"")</f>
        <v/>
      </c>
      <c r="I31" s="69" t="str">
        <f aca="false">IFERROR(IF(OR(NOT(ISNUMBER($F31)),NOT(ISNUMBER($G31))),"",$F31+1.96*$G31),"")</f>
        <v/>
      </c>
      <c r="J31" s="45" t="str">
        <f aca="false">IF(OR($B31="",NOT(ISNUMBER($F31))),"—",IF($C31&lt;30,"LOW",IF($I31&lt;=-1,"HIGH","MEDIUM")))</f>
        <v>—</v>
      </c>
      <c r="K31" s="70" t="str">
        <f aca="false">IF($B31="","",IF(NOT(ISNUMBER($F31)),"No matching rows in SALES_DATA — using category prior",IF($C31&lt;30,"Low sample (&lt;30 obs) — CI is wide",IF($I31&gt;-1,"CI crosses -1 — direction uncertain","OK"))))</f>
        <v/>
      </c>
      <c r="L31" s="71" t="str">
        <f aca="false">IF(ISNUMBER($F31),$F31,"")</f>
        <v/>
      </c>
      <c r="N31" s="72" t="str">
        <f aca="false">IFERROR(IF($B31="","",SUMPRODUCT((sd_item=$B31)*((sd_sample="N") + (sd_sample="Y")*(cfg_use_sample="Yes"))*sd_lnp)/SUMPRODUCT((sd_item=$B31)*((sd_sample="N") + (sd_sample="Y")*(cfg_use_sample="Yes")))),"")</f>
        <v/>
      </c>
      <c r="O31" s="72" t="str">
        <f aca="false">IFERROR(IF($B31="","",SUMPRODUCT((sd_item=$B31)*((sd_sample="N") + (sd_sample="Y")*(cfg_use_sample="Yes"))*sd_lnq)/SUMPRODUCT((sd_item=$B31)*((sd_sample="N") + (sd_sample="Y")*(cfg_use_sample="Yes")))),"")</f>
        <v/>
      </c>
      <c r="P31" s="72" t="str">
        <f aca="false">IFERROR(IF(OR($B31="",$N31=""),"",SUMPRODUCT((sd_item=$B31)*((sd_sample="N") + (sd_sample="Y")*(cfg_use_sample="Yes"))*(sd_lnp-$N31)^2)),"")</f>
        <v/>
      </c>
      <c r="Q31" s="72" t="str">
        <f aca="false">IFERROR(IF(OR($B31="",$N31=""),"",SUMPRODUCT((sd_item=$B31)*((sd_sample="N") + (sd_sample="Y")*(cfg_use_sample="Yes"))*(sd_lnp-$N31)*(sd_lnq-$O31))),"")</f>
        <v/>
      </c>
      <c r="R31" s="72" t="str">
        <f aca="false">IFERROR(IF(OR($B31="",$F31="",$F31=0,NOT(ISNUMBER($F31))),"",SUMPRODUCT((sd_item=$B31)*((sd_sample="N") + (sd_sample="Y")*(cfg_use_sample="Yes"))*(sd_lnq-$O31-$F31*(sd_lnp-$N31))^2)),"")</f>
        <v/>
      </c>
    </row>
    <row r="32" customFormat="false" ht="15" hidden="false" customHeight="true" outlineLevel="0" collapsed="false">
      <c r="A32" s="15" t="n">
        <v>27</v>
      </c>
      <c r="B32" s="41" t="str">
        <f aca="false">IF(OWNER_INPUTS!B32="","",OWNER_INPUTS!B32)</f>
        <v/>
      </c>
      <c r="C32" s="66" t="str">
        <f aca="false">IFERROR(IF($B32="","",SUMPRODUCT((sd_item=$B32)*((sd_sample="N") + (sd_sample="Y")*(cfg_use_sample="Yes"))*(sd_qty&gt;0))),"")</f>
        <v/>
      </c>
      <c r="D32" s="67" t="str">
        <f aca="false">IFERROR(IF(OR($B32="",$C32=0,$C32=""),"",SUMPRODUCT((sd_item=$B32)*((sd_sample="N") + (sd_sample="Y")*(cfg_use_sample="Yes"))*SALES_DATA!$F$6:$F$545)/$C32),"")</f>
        <v/>
      </c>
      <c r="E32" s="68" t="str">
        <f aca="false">IFERROR(IF(OR($B32="",$C32=0,$C32=""),"",SUMPRODUCT((sd_item=$B32)*((sd_sample="N") + (sd_sample="Y")*(cfg_use_sample="Yes"))*sd_qty)/$C32),"")</f>
        <v/>
      </c>
      <c r="F32" s="69" t="str">
        <f aca="false">IFERROR(IF(OR($B32="",$C32&lt;10,NOT(ISNUMBER($P32)),$P32=0),"",$Q32/$P32),"")</f>
        <v/>
      </c>
      <c r="G32" s="69" t="str">
        <f aca="false">IFERROR(IF(OR(NOT(ISNUMBER($F32)),$C32&lt;3,$P32=0,NOT(ISNUMBER($R32))),"",SQRT($R32/($C32-2)/$P32)),"")</f>
        <v/>
      </c>
      <c r="H32" s="69" t="str">
        <f aca="false">IFERROR(IF(OR(NOT(ISNUMBER($F32)),NOT(ISNUMBER($G32))),"",$F32-1.96*$G32),"")</f>
        <v/>
      </c>
      <c r="I32" s="69" t="str">
        <f aca="false">IFERROR(IF(OR(NOT(ISNUMBER($F32)),NOT(ISNUMBER($G32))),"",$F32+1.96*$G32),"")</f>
        <v/>
      </c>
      <c r="J32" s="45" t="str">
        <f aca="false">IF(OR($B32="",NOT(ISNUMBER($F32))),"—",IF($C32&lt;30,"LOW",IF($I32&lt;=-1,"HIGH","MEDIUM")))</f>
        <v>—</v>
      </c>
      <c r="K32" s="70" t="str">
        <f aca="false">IF($B32="","",IF(NOT(ISNUMBER($F32)),"No matching rows in SALES_DATA — using category prior",IF($C32&lt;30,"Low sample (&lt;30 obs) — CI is wide",IF($I32&gt;-1,"CI crosses -1 — direction uncertain","OK"))))</f>
        <v/>
      </c>
      <c r="L32" s="71" t="str">
        <f aca="false">IF(ISNUMBER($F32),$F32,"")</f>
        <v/>
      </c>
      <c r="N32" s="72" t="str">
        <f aca="false">IFERROR(IF($B32="","",SUMPRODUCT((sd_item=$B32)*((sd_sample="N") + (sd_sample="Y")*(cfg_use_sample="Yes"))*sd_lnp)/SUMPRODUCT((sd_item=$B32)*((sd_sample="N") + (sd_sample="Y")*(cfg_use_sample="Yes")))),"")</f>
        <v/>
      </c>
      <c r="O32" s="72" t="str">
        <f aca="false">IFERROR(IF($B32="","",SUMPRODUCT((sd_item=$B32)*((sd_sample="N") + (sd_sample="Y")*(cfg_use_sample="Yes"))*sd_lnq)/SUMPRODUCT((sd_item=$B32)*((sd_sample="N") + (sd_sample="Y")*(cfg_use_sample="Yes")))),"")</f>
        <v/>
      </c>
      <c r="P32" s="72" t="str">
        <f aca="false">IFERROR(IF(OR($B32="",$N32=""),"",SUMPRODUCT((sd_item=$B32)*((sd_sample="N") + (sd_sample="Y")*(cfg_use_sample="Yes"))*(sd_lnp-$N32)^2)),"")</f>
        <v/>
      </c>
      <c r="Q32" s="72" t="str">
        <f aca="false">IFERROR(IF(OR($B32="",$N32=""),"",SUMPRODUCT((sd_item=$B32)*((sd_sample="N") + (sd_sample="Y")*(cfg_use_sample="Yes"))*(sd_lnp-$N32)*(sd_lnq-$O32))),"")</f>
        <v/>
      </c>
      <c r="R32" s="72" t="str">
        <f aca="false">IFERROR(IF(OR($B32="",$F32="",$F32=0,NOT(ISNUMBER($F32))),"",SUMPRODUCT((sd_item=$B32)*((sd_sample="N") + (sd_sample="Y")*(cfg_use_sample="Yes"))*(sd_lnq-$O32-$F32*(sd_lnp-$N32))^2)),"")</f>
        <v/>
      </c>
    </row>
    <row r="33" customFormat="false" ht="15" hidden="false" customHeight="true" outlineLevel="0" collapsed="false">
      <c r="A33" s="15" t="n">
        <v>28</v>
      </c>
      <c r="B33" s="41" t="str">
        <f aca="false">IF(OWNER_INPUTS!B33="","",OWNER_INPUTS!B33)</f>
        <v/>
      </c>
      <c r="C33" s="66" t="str">
        <f aca="false">IFERROR(IF($B33="","",SUMPRODUCT((sd_item=$B33)*((sd_sample="N") + (sd_sample="Y")*(cfg_use_sample="Yes"))*(sd_qty&gt;0))),"")</f>
        <v/>
      </c>
      <c r="D33" s="67" t="str">
        <f aca="false">IFERROR(IF(OR($B33="",$C33=0,$C33=""),"",SUMPRODUCT((sd_item=$B33)*((sd_sample="N") + (sd_sample="Y")*(cfg_use_sample="Yes"))*SALES_DATA!$F$6:$F$545)/$C33),"")</f>
        <v/>
      </c>
      <c r="E33" s="68" t="str">
        <f aca="false">IFERROR(IF(OR($B33="",$C33=0,$C33=""),"",SUMPRODUCT((sd_item=$B33)*((sd_sample="N") + (sd_sample="Y")*(cfg_use_sample="Yes"))*sd_qty)/$C33),"")</f>
        <v/>
      </c>
      <c r="F33" s="69" t="str">
        <f aca="false">IFERROR(IF(OR($B33="",$C33&lt;10,NOT(ISNUMBER($P33)),$P33=0),"",$Q33/$P33),"")</f>
        <v/>
      </c>
      <c r="G33" s="69" t="str">
        <f aca="false">IFERROR(IF(OR(NOT(ISNUMBER($F33)),$C33&lt;3,$P33=0,NOT(ISNUMBER($R33))),"",SQRT($R33/($C33-2)/$P33)),"")</f>
        <v/>
      </c>
      <c r="H33" s="69" t="str">
        <f aca="false">IFERROR(IF(OR(NOT(ISNUMBER($F33)),NOT(ISNUMBER($G33))),"",$F33-1.96*$G33),"")</f>
        <v/>
      </c>
      <c r="I33" s="69" t="str">
        <f aca="false">IFERROR(IF(OR(NOT(ISNUMBER($F33)),NOT(ISNUMBER($G33))),"",$F33+1.96*$G33),"")</f>
        <v/>
      </c>
      <c r="J33" s="45" t="str">
        <f aca="false">IF(OR($B33="",NOT(ISNUMBER($F33))),"—",IF($C33&lt;30,"LOW",IF($I33&lt;=-1,"HIGH","MEDIUM")))</f>
        <v>—</v>
      </c>
      <c r="K33" s="70" t="str">
        <f aca="false">IF($B33="","",IF(NOT(ISNUMBER($F33)),"No matching rows in SALES_DATA — using category prior",IF($C33&lt;30,"Low sample (&lt;30 obs) — CI is wide",IF($I33&gt;-1,"CI crosses -1 — direction uncertain","OK"))))</f>
        <v/>
      </c>
      <c r="L33" s="71" t="str">
        <f aca="false">IF(ISNUMBER($F33),$F33,"")</f>
        <v/>
      </c>
      <c r="N33" s="72" t="str">
        <f aca="false">IFERROR(IF($B33="","",SUMPRODUCT((sd_item=$B33)*((sd_sample="N") + (sd_sample="Y")*(cfg_use_sample="Yes"))*sd_lnp)/SUMPRODUCT((sd_item=$B33)*((sd_sample="N") + (sd_sample="Y")*(cfg_use_sample="Yes")))),"")</f>
        <v/>
      </c>
      <c r="O33" s="72" t="str">
        <f aca="false">IFERROR(IF($B33="","",SUMPRODUCT((sd_item=$B33)*((sd_sample="N") + (sd_sample="Y")*(cfg_use_sample="Yes"))*sd_lnq)/SUMPRODUCT((sd_item=$B33)*((sd_sample="N") + (sd_sample="Y")*(cfg_use_sample="Yes")))),"")</f>
        <v/>
      </c>
      <c r="P33" s="72" t="str">
        <f aca="false">IFERROR(IF(OR($B33="",$N33=""),"",SUMPRODUCT((sd_item=$B33)*((sd_sample="N") + (sd_sample="Y")*(cfg_use_sample="Yes"))*(sd_lnp-$N33)^2)),"")</f>
        <v/>
      </c>
      <c r="Q33" s="72" t="str">
        <f aca="false">IFERROR(IF(OR($B33="",$N33=""),"",SUMPRODUCT((sd_item=$B33)*((sd_sample="N") + (sd_sample="Y")*(cfg_use_sample="Yes"))*(sd_lnp-$N33)*(sd_lnq-$O33))),"")</f>
        <v/>
      </c>
      <c r="R33" s="72" t="str">
        <f aca="false">IFERROR(IF(OR($B33="",$F33="",$F33=0,NOT(ISNUMBER($F33))),"",SUMPRODUCT((sd_item=$B33)*((sd_sample="N") + (sd_sample="Y")*(cfg_use_sample="Yes"))*(sd_lnq-$O33-$F33*(sd_lnp-$N33))^2)),"")</f>
        <v/>
      </c>
    </row>
    <row r="34" customFormat="false" ht="15" hidden="false" customHeight="true" outlineLevel="0" collapsed="false">
      <c r="A34" s="15" t="n">
        <v>29</v>
      </c>
      <c r="B34" s="41" t="str">
        <f aca="false">IF(OWNER_INPUTS!B34="","",OWNER_INPUTS!B34)</f>
        <v/>
      </c>
      <c r="C34" s="66" t="str">
        <f aca="false">IFERROR(IF($B34="","",SUMPRODUCT((sd_item=$B34)*((sd_sample="N") + (sd_sample="Y")*(cfg_use_sample="Yes"))*(sd_qty&gt;0))),"")</f>
        <v/>
      </c>
      <c r="D34" s="67" t="str">
        <f aca="false">IFERROR(IF(OR($B34="",$C34=0,$C34=""),"",SUMPRODUCT((sd_item=$B34)*((sd_sample="N") + (sd_sample="Y")*(cfg_use_sample="Yes"))*SALES_DATA!$F$6:$F$545)/$C34),"")</f>
        <v/>
      </c>
      <c r="E34" s="68" t="str">
        <f aca="false">IFERROR(IF(OR($B34="",$C34=0,$C34=""),"",SUMPRODUCT((sd_item=$B34)*((sd_sample="N") + (sd_sample="Y")*(cfg_use_sample="Yes"))*sd_qty)/$C34),"")</f>
        <v/>
      </c>
      <c r="F34" s="69" t="str">
        <f aca="false">IFERROR(IF(OR($B34="",$C34&lt;10,NOT(ISNUMBER($P34)),$P34=0),"",$Q34/$P34),"")</f>
        <v/>
      </c>
      <c r="G34" s="69" t="str">
        <f aca="false">IFERROR(IF(OR(NOT(ISNUMBER($F34)),$C34&lt;3,$P34=0,NOT(ISNUMBER($R34))),"",SQRT($R34/($C34-2)/$P34)),"")</f>
        <v/>
      </c>
      <c r="H34" s="69" t="str">
        <f aca="false">IFERROR(IF(OR(NOT(ISNUMBER($F34)),NOT(ISNUMBER($G34))),"",$F34-1.96*$G34),"")</f>
        <v/>
      </c>
      <c r="I34" s="69" t="str">
        <f aca="false">IFERROR(IF(OR(NOT(ISNUMBER($F34)),NOT(ISNUMBER($G34))),"",$F34+1.96*$G34),"")</f>
        <v/>
      </c>
      <c r="J34" s="45" t="str">
        <f aca="false">IF(OR($B34="",NOT(ISNUMBER($F34))),"—",IF($C34&lt;30,"LOW",IF($I34&lt;=-1,"HIGH","MEDIUM")))</f>
        <v>—</v>
      </c>
      <c r="K34" s="70" t="str">
        <f aca="false">IF($B34="","",IF(NOT(ISNUMBER($F34)),"No matching rows in SALES_DATA — using category prior",IF($C34&lt;30,"Low sample (&lt;30 obs) — CI is wide",IF($I34&gt;-1,"CI crosses -1 — direction uncertain","OK"))))</f>
        <v/>
      </c>
      <c r="L34" s="71" t="str">
        <f aca="false">IF(ISNUMBER($F34),$F34,"")</f>
        <v/>
      </c>
      <c r="N34" s="72" t="str">
        <f aca="false">IFERROR(IF($B34="","",SUMPRODUCT((sd_item=$B34)*((sd_sample="N") + (sd_sample="Y")*(cfg_use_sample="Yes"))*sd_lnp)/SUMPRODUCT((sd_item=$B34)*((sd_sample="N") + (sd_sample="Y")*(cfg_use_sample="Yes")))),"")</f>
        <v/>
      </c>
      <c r="O34" s="72" t="str">
        <f aca="false">IFERROR(IF($B34="","",SUMPRODUCT((sd_item=$B34)*((sd_sample="N") + (sd_sample="Y")*(cfg_use_sample="Yes"))*sd_lnq)/SUMPRODUCT((sd_item=$B34)*((sd_sample="N") + (sd_sample="Y")*(cfg_use_sample="Yes")))),"")</f>
        <v/>
      </c>
      <c r="P34" s="72" t="str">
        <f aca="false">IFERROR(IF(OR($B34="",$N34=""),"",SUMPRODUCT((sd_item=$B34)*((sd_sample="N") + (sd_sample="Y")*(cfg_use_sample="Yes"))*(sd_lnp-$N34)^2)),"")</f>
        <v/>
      </c>
      <c r="Q34" s="72" t="str">
        <f aca="false">IFERROR(IF(OR($B34="",$N34=""),"",SUMPRODUCT((sd_item=$B34)*((sd_sample="N") + (sd_sample="Y")*(cfg_use_sample="Yes"))*(sd_lnp-$N34)*(sd_lnq-$O34))),"")</f>
        <v/>
      </c>
      <c r="R34" s="72" t="str">
        <f aca="false">IFERROR(IF(OR($B34="",$F34="",$F34=0,NOT(ISNUMBER($F34))),"",SUMPRODUCT((sd_item=$B34)*((sd_sample="N") + (sd_sample="Y")*(cfg_use_sample="Yes"))*(sd_lnq-$O34-$F34*(sd_lnp-$N34))^2)),"")</f>
        <v/>
      </c>
    </row>
    <row r="35" customFormat="false" ht="15" hidden="false" customHeight="true" outlineLevel="0" collapsed="false">
      <c r="A35" s="15" t="n">
        <v>30</v>
      </c>
      <c r="B35" s="41" t="str">
        <f aca="false">IF(OWNER_INPUTS!B35="","",OWNER_INPUTS!B35)</f>
        <v/>
      </c>
      <c r="C35" s="66" t="str">
        <f aca="false">IFERROR(IF($B35="","",SUMPRODUCT((sd_item=$B35)*((sd_sample="N") + (sd_sample="Y")*(cfg_use_sample="Yes"))*(sd_qty&gt;0))),"")</f>
        <v/>
      </c>
      <c r="D35" s="67" t="str">
        <f aca="false">IFERROR(IF(OR($B35="",$C35=0,$C35=""),"",SUMPRODUCT((sd_item=$B35)*((sd_sample="N") + (sd_sample="Y")*(cfg_use_sample="Yes"))*SALES_DATA!$F$6:$F$545)/$C35),"")</f>
        <v/>
      </c>
      <c r="E35" s="68" t="str">
        <f aca="false">IFERROR(IF(OR($B35="",$C35=0,$C35=""),"",SUMPRODUCT((sd_item=$B35)*((sd_sample="N") + (sd_sample="Y")*(cfg_use_sample="Yes"))*sd_qty)/$C35),"")</f>
        <v/>
      </c>
      <c r="F35" s="69" t="str">
        <f aca="false">IFERROR(IF(OR($B35="",$C35&lt;10,NOT(ISNUMBER($P35)),$P35=0),"",$Q35/$P35),"")</f>
        <v/>
      </c>
      <c r="G35" s="69" t="str">
        <f aca="false">IFERROR(IF(OR(NOT(ISNUMBER($F35)),$C35&lt;3,$P35=0,NOT(ISNUMBER($R35))),"",SQRT($R35/($C35-2)/$P35)),"")</f>
        <v/>
      </c>
      <c r="H35" s="69" t="str">
        <f aca="false">IFERROR(IF(OR(NOT(ISNUMBER($F35)),NOT(ISNUMBER($G35))),"",$F35-1.96*$G35),"")</f>
        <v/>
      </c>
      <c r="I35" s="69" t="str">
        <f aca="false">IFERROR(IF(OR(NOT(ISNUMBER($F35)),NOT(ISNUMBER($G35))),"",$F35+1.96*$G35),"")</f>
        <v/>
      </c>
      <c r="J35" s="45" t="str">
        <f aca="false">IF(OR($B35="",NOT(ISNUMBER($F35))),"—",IF($C35&lt;30,"LOW",IF($I35&lt;=-1,"HIGH","MEDIUM")))</f>
        <v>—</v>
      </c>
      <c r="K35" s="70" t="str">
        <f aca="false">IF($B35="","",IF(NOT(ISNUMBER($F35)),"No matching rows in SALES_DATA — using category prior",IF($C35&lt;30,"Low sample (&lt;30 obs) — CI is wide",IF($I35&gt;-1,"CI crosses -1 — direction uncertain","OK"))))</f>
        <v/>
      </c>
      <c r="L35" s="71" t="str">
        <f aca="false">IF(ISNUMBER($F35),$F35,"")</f>
        <v/>
      </c>
      <c r="N35" s="72" t="str">
        <f aca="false">IFERROR(IF($B35="","",SUMPRODUCT((sd_item=$B35)*((sd_sample="N") + (sd_sample="Y")*(cfg_use_sample="Yes"))*sd_lnp)/SUMPRODUCT((sd_item=$B35)*((sd_sample="N") + (sd_sample="Y")*(cfg_use_sample="Yes")))),"")</f>
        <v/>
      </c>
      <c r="O35" s="72" t="str">
        <f aca="false">IFERROR(IF($B35="","",SUMPRODUCT((sd_item=$B35)*((sd_sample="N") + (sd_sample="Y")*(cfg_use_sample="Yes"))*sd_lnq)/SUMPRODUCT((sd_item=$B35)*((sd_sample="N") + (sd_sample="Y")*(cfg_use_sample="Yes")))),"")</f>
        <v/>
      </c>
      <c r="P35" s="72" t="str">
        <f aca="false">IFERROR(IF(OR($B35="",$N35=""),"",SUMPRODUCT((sd_item=$B35)*((sd_sample="N") + (sd_sample="Y")*(cfg_use_sample="Yes"))*(sd_lnp-$N35)^2)),"")</f>
        <v/>
      </c>
      <c r="Q35" s="72" t="str">
        <f aca="false">IFERROR(IF(OR($B35="",$N35=""),"",SUMPRODUCT((sd_item=$B35)*((sd_sample="N") + (sd_sample="Y")*(cfg_use_sample="Yes"))*(sd_lnp-$N35)*(sd_lnq-$O35))),"")</f>
        <v/>
      </c>
      <c r="R35" s="72" t="str">
        <f aca="false">IFERROR(IF(OR($B35="",$F35="",$F35=0,NOT(ISNUMBER($F35))),"",SUMPRODUCT((sd_item=$B35)*((sd_sample="N") + (sd_sample="Y")*(cfg_use_sample="Yes"))*(sd_lnq-$O35-$F35*(sd_lnp-$N35))^2)),"")</f>
        <v/>
      </c>
    </row>
  </sheetData>
  <mergeCells count="2">
    <mergeCell ref="A1:L1"/>
    <mergeCell ref="A3:L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A1:AA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4" min="3" style="1" width="16"/>
    <col collapsed="false" customWidth="true" hidden="false" outlineLevel="0" max="5" min="5" style="1" width="8"/>
    <col collapsed="false" customWidth="true" hidden="false" outlineLevel="0" max="6" min="6" style="1" width="11"/>
    <col collapsed="false" customWidth="true" hidden="false" outlineLevel="0" max="7" min="7" style="1" width="9"/>
    <col collapsed="false" customWidth="true" hidden="false" outlineLevel="0" max="11" min="8" style="1" width="11"/>
    <col collapsed="false" customWidth="true" hidden="false" outlineLevel="0" max="12" min="12" style="1" width="10"/>
    <col collapsed="false" customWidth="true" hidden="false" outlineLevel="0" max="13" min="13" style="1" width="11"/>
    <col collapsed="false" customWidth="true" hidden="false" outlineLevel="0" max="15" min="14" style="1" width="9"/>
    <col collapsed="false" customWidth="true" hidden="false" outlineLevel="0" max="18" min="16" style="1" width="11"/>
    <col collapsed="false" customWidth="true" hidden="false" outlineLevel="0" max="19" min="19" style="1" width="8"/>
    <col collapsed="false" customWidth="true" hidden="false" outlineLevel="0" max="20" min="20" style="1" width="13"/>
    <col collapsed="false" customWidth="true" hidden="false" outlineLevel="0" max="21" min="21" style="1" width="8"/>
    <col collapsed="false" customWidth="true" hidden="false" outlineLevel="0" max="22" min="22" style="1" width="11"/>
    <col collapsed="false" customWidth="true" hidden="false" outlineLevel="0" max="24" min="23" style="1" width="13"/>
    <col collapsed="false" customWidth="true" hidden="true" outlineLevel="0" max="27" min="25" style="1" width="13"/>
  </cols>
  <sheetData>
    <row r="1" customFormat="false" ht="25.5" hidden="false" customHeight="true" outlineLevel="0" collapsed="false">
      <c r="A1" s="2" t="s">
        <v>268</v>
      </c>
      <c r="B1" s="2"/>
      <c r="C1" s="2"/>
      <c r="D1" s="2"/>
      <c r="E1" s="2"/>
      <c r="F1" s="2"/>
      <c r="G1" s="2"/>
      <c r="H1" s="2"/>
      <c r="I1" s="2"/>
      <c r="J1" s="2"/>
      <c r="K1" s="2"/>
      <c r="L1" s="2"/>
      <c r="M1" s="2"/>
      <c r="N1" s="2"/>
      <c r="O1" s="2"/>
      <c r="P1" s="2"/>
      <c r="Q1" s="2"/>
      <c r="R1" s="2"/>
      <c r="S1" s="2"/>
      <c r="T1" s="2"/>
      <c r="U1" s="2"/>
      <c r="V1" s="2"/>
      <c r="W1" s="2"/>
      <c r="X1" s="2"/>
    </row>
    <row r="3" customFormat="false" ht="55.5" hidden="false" customHeight="true" outlineLevel="0" collapsed="false">
      <c r="A3" s="13" t="s">
        <v>269</v>
      </c>
      <c r="B3" s="13"/>
      <c r="C3" s="13"/>
      <c r="D3" s="13"/>
      <c r="E3" s="13"/>
      <c r="F3" s="13"/>
      <c r="G3" s="13"/>
      <c r="H3" s="13"/>
      <c r="I3" s="13"/>
      <c r="J3" s="13"/>
      <c r="K3" s="13"/>
      <c r="L3" s="13"/>
      <c r="M3" s="13"/>
      <c r="N3" s="13"/>
      <c r="O3" s="13"/>
      <c r="P3" s="13"/>
      <c r="Q3" s="13"/>
      <c r="R3" s="13"/>
      <c r="S3" s="13"/>
      <c r="T3" s="13"/>
      <c r="U3" s="13"/>
      <c r="V3" s="13"/>
      <c r="W3" s="13"/>
      <c r="X3" s="13"/>
    </row>
    <row r="5" customFormat="false" ht="49.5" hidden="false" customHeight="true" outlineLevel="0" collapsed="false">
      <c r="A5" s="14" t="s">
        <v>59</v>
      </c>
      <c r="B5" s="14" t="s">
        <v>104</v>
      </c>
      <c r="C5" s="14" t="s">
        <v>61</v>
      </c>
      <c r="D5" s="14" t="s">
        <v>62</v>
      </c>
      <c r="E5" s="14" t="s">
        <v>270</v>
      </c>
      <c r="F5" s="14" t="s">
        <v>105</v>
      </c>
      <c r="G5" s="14" t="s">
        <v>271</v>
      </c>
      <c r="H5" s="14" t="s">
        <v>272</v>
      </c>
      <c r="I5" s="14" t="s">
        <v>166</v>
      </c>
      <c r="J5" s="14" t="s">
        <v>133</v>
      </c>
      <c r="K5" s="14" t="s">
        <v>273</v>
      </c>
      <c r="L5" s="14" t="s">
        <v>274</v>
      </c>
      <c r="M5" s="14" t="s">
        <v>275</v>
      </c>
      <c r="N5" s="14" t="s">
        <v>276</v>
      </c>
      <c r="O5" s="14" t="s">
        <v>277</v>
      </c>
      <c r="P5" s="14" t="s">
        <v>278</v>
      </c>
      <c r="Q5" s="14" t="s">
        <v>279</v>
      </c>
      <c r="R5" s="14" t="s">
        <v>280</v>
      </c>
      <c r="S5" s="14" t="s">
        <v>281</v>
      </c>
      <c r="T5" s="14" t="s">
        <v>282</v>
      </c>
      <c r="U5" s="14" t="s">
        <v>283</v>
      </c>
      <c r="V5" s="14" t="s">
        <v>284</v>
      </c>
      <c r="W5" s="14" t="s">
        <v>285</v>
      </c>
      <c r="X5" s="14" t="s">
        <v>286</v>
      </c>
      <c r="Y5" s="1" t="s">
        <v>287</v>
      </c>
      <c r="Z5" s="1" t="s">
        <v>288</v>
      </c>
      <c r="AA5" s="1" t="s">
        <v>289</v>
      </c>
    </row>
    <row r="6" customFormat="false" ht="15" hidden="false" customHeight="true" outlineLevel="0" collapsed="false">
      <c r="A6" s="15" t="n">
        <v>1</v>
      </c>
      <c r="B6" s="41" t="str">
        <f aca="false">IF(OWNER_INPUTS!B6="","",OWNER_INPUTS!B6)</f>
        <v>Flat White</v>
      </c>
      <c r="C6" s="41" t="str">
        <f aca="false">IF($B6="","",OWNER_INPUTS!C6)</f>
        <v>Coffee</v>
      </c>
      <c r="D6" s="41" t="str">
        <f aca="false">IF($B6="","",OWNER_INPUTS!D6)</f>
        <v>Traffic Driver</v>
      </c>
      <c r="E6" s="42" t="n">
        <f aca="false">IF($B6="","",OWNER_INPUTS!E6)</f>
        <v>1</v>
      </c>
      <c r="F6" s="42" t="n">
        <f aca="false">IF($B6="","",OWNER_INPUTS!F6)</f>
        <v>4.2</v>
      </c>
      <c r="G6" s="68" t="n">
        <f aca="false">IF($B6="","",OWNER_INPUTS!G6/30)</f>
        <v>50</v>
      </c>
      <c r="H6" s="67" t="n">
        <f aca="false">IF($B6="","",IFERROR(  IF(ISNUMBER(INDEX(cal_estimate,MATCH($B6,cal_items,0))),    INDEX(cal_estimate,MATCH($B6,cal_items,0)),    IFERROR(VLOOKUP($C6,tbl_priors,2,FALSE()),      VLOOKUP("Other",tbl_priors,2,FALSE()))),  IFERROR(VLOOKUP($C6,tbl_priors,2,FALSE()),    VLOOKUP("Other",tbl_priors,2,FALSE()))))</f>
        <v>-1.1</v>
      </c>
      <c r="I6" s="45" t="str">
        <f aca="false">IF($B6="","",IF(IFERROR(ISNUMBER(INDEX(cal_estimate,MATCH($B6,cal_items,0))),FALSE()),"Estimated","Prior"))</f>
        <v>Prior</v>
      </c>
      <c r="J6" s="45" t="str">
        <f aca="false">IF($B6="","",IF($I6="Estimated",  IFERROR(INDEX(cal_conf,MATCH($B6,cal_items,0)),"LOW"),"LOW"))</f>
        <v>LOW</v>
      </c>
      <c r="K6" s="67" t="n">
        <f aca="false">IF($B6="","",IF($H6&lt;-1,$E6*$H6/($H6+1),"test"))</f>
        <v>11</v>
      </c>
      <c r="L6" s="73" t="n">
        <f aca="false">IF($B6="","",IF($J6="HIGH",cfg_shr_high,IF($J6="MEDIUM",cfg_shr_med,cfg_shr_low)))</f>
        <v>0.25</v>
      </c>
      <c r="M6" s="67" t="n">
        <f aca="false">IF($B6="","",IF($K6="test",  $F6*(1+IFERROR(VLOOKUP($D6,tbl_roles,4,FALSE()),    VLOOKUP("Other",tbl_roles,4,FALSE()))),  $F6+$L6*($K6-$F6)))</f>
        <v>5.9</v>
      </c>
      <c r="N6" s="73" t="n">
        <f aca="false">IF($B6="","",IFERROR(VLOOKUP($D6,tbl_roles,2,FALSE()),VLOOKUP("Other",tbl_roles,2,FALSE())))</f>
        <v>0.03</v>
      </c>
      <c r="O6" s="73" t="n">
        <f aca="false">IF($B6="","",IFERROR(VLOOKUP($D6,tbl_roles,3,FALSE()),VLOOKUP("Other",tbl_roles,3,FALSE())))</f>
        <v>-0.05</v>
      </c>
      <c r="P6" s="67" t="n">
        <f aca="false">IF($B6="","",MIN($F6*(1+$N6),MAX($F6*(1+$O6),$M6)))</f>
        <v>4.326</v>
      </c>
      <c r="Q6" s="67" t="n">
        <f aca="false">IF($B6="","",MIN($F6*(1+cfg_max_raise),MAX($F6*(1+cfg_max_cut),$P6)))</f>
        <v>4.326</v>
      </c>
      <c r="R6" s="67" t="n">
        <f aca="false">IF($B6="","",IF(cfg_currency="IDR",IF($B6="","",IFERROR(IF(AND($Q6&gt;INDEX(tbl_thr_idr,MATCH($Q6,INDEX(tbl_thr_idr,0,1),1),1),$Q6&lt;=INDEX(tbl_thr_idr,MATCH($Q6,INDEX(tbl_thr_idr,0,1),1),1)+INDEX(tbl_thr_idr,MATCH($Q6,INDEX(tbl_thr_idr,0,1),1),2)),FLOOR(INDEX(tbl_thr_idr,MATCH($Q6,INDEX(tbl_thr_idr,0,1),1),1)-1,cfg_round_to),$Q6),$Q6)),IF($B6="","",IFERROR(IF(AND($Q6&gt;INDEX(tbl_thr_usd,MATCH($Q6,INDEX(tbl_thr_usd,0,1),1),1),$Q6&lt;=INDEX(tbl_thr_usd,MATCH($Q6,INDEX(tbl_thr_usd,0,1),1),1)+INDEX(tbl_thr_usd,MATCH($Q6,INDEX(tbl_thr_usd,0,1),1),2)),FLOOR(INDEX(tbl_thr_usd,MATCH($Q6,INDEX(tbl_thr_usd,0,1),1),1)-0.01,cfg_round_to),$Q6),$Q6))))</f>
        <v>4.326</v>
      </c>
      <c r="S6" s="67" t="n">
        <f aca="false">IF($B6="","",cfg_round_to)</f>
        <v>0.1</v>
      </c>
      <c r="T6" s="74" t="n">
        <f aca="false">IF($B6="","",IF(N($AA6)=0,MIN(FLOOR($F6*(1+MIN($N6,cfg_max_raise)),$S6),MAX(CEILING($F6*(1+MAX($O6,cfg_max_cut)),$S6),MROUND($R6,$S6))),IF(SIGN(MIN(FLOOR($F6*(1+MIN($N6,cfg_max_raise)),$S6),MAX(CEILING($F6*(1+MAX($O6,cfg_max_cut)),$S6),MROUND($R6,$S6)))-$F6)&gt;0,IF(AND(N($Y6)&gt;=$F6,N($Y6)&gt;=CEILING($F6*(1+MAX($O6,cfg_max_cut)),$S6),N($Y6)&lt;=FLOOR($F6*(1+MIN($N6,cfg_max_raise)),$S6)),N($Y6),IF(AND(N($Z6)&gt;$F6,N($Z6)&gt;=CEILING($F6*(1+MAX($O6,cfg_max_cut)),$S6),N($Z6)&lt;=FLOOR($F6*(1+MIN($N6,cfg_max_raise)),$S6)),N($Z6),MIN(FLOOR($F6*(1+MIN($N6,cfg_max_raise)),$S6),MAX(CEILING($F6*(1+MAX($O6,cfg_max_cut)),$S6),MROUND($R6,$S6))))),IF(SIGN(MIN(FLOOR($F6*(1+MIN($N6,cfg_max_raise)),$S6),MAX(CEILING($F6*(1+MAX($O6,cfg_max_cut)),$S6),MROUND($R6,$S6)))-$F6)&lt;0,IF(AND(N($Z6)&lt;=$F6,N($Z6)&gt;=CEILING($F6*(1+MAX($O6,cfg_max_cut)),$S6),N($Z6)&lt;=FLOOR($F6*(1+MIN($N6,cfg_max_raise)),$S6)),N($Z6),IF(AND(N($Y6)&lt;$F6,N($Y6)&gt;=CEILING($F6*(1+MAX($O6,cfg_max_cut)),$S6),N($Y6)&lt;=FLOOR($F6*(1+MIN($N6,cfg_max_raise)),$S6)),N($Y6),MIN(FLOOR($F6*(1+MIN($N6,cfg_max_raise)),$S6),MAX(CEILING($F6*(1+MAX($O6,cfg_max_cut)),$S6),MROUND($R6,$S6))))),IF(ABS(N($Y6)-$F6)&lt;=ABS(N($Z6)-$F6),IF(AND(N($Y6)&gt;=CEILING($F6*(1+MAX($O6,cfg_max_cut)),$S6),N($Y6)&lt;=FLOOR($F6*(1+MIN($N6,cfg_max_raise)),$S6)),N($Y6),MIN(FLOOR($F6*(1+MIN($N6,cfg_max_raise)),$S6),MAX(CEILING($F6*(1+MAX($O6,cfg_max_cut)),$S6),MROUND($R6,$S6)))),IF(AND(N($Z6)&gt;=CEILING($F6*(1+MAX($O6,cfg_max_cut)),$S6),N($Z6)&lt;=FLOOR($F6*(1+MIN($N6,cfg_max_raise)),$S6)),N($Z6),MIN(FLOOR($F6*(1+MIN($N6,cfg_max_raise)),$S6),MAX(CEILING($F6*(1+MAX($O6,cfg_max_cut)),$S6),MROUND($R6,$S6)))))))))</f>
        <v>4.3</v>
      </c>
      <c r="U6" s="73" t="n">
        <f aca="false">IF($B6="","",IFERROR($T6/$F6-1,0))</f>
        <v>0.0238095238095237</v>
      </c>
      <c r="V6" s="68" t="n">
        <f aca="false">IF($B6="","",$G6*($T6/$F6)^$H6)</f>
        <v>48.7224280156236</v>
      </c>
      <c r="W6" s="75" t="n">
        <f aca="false">IF($B6="","",($T6-$E6)*$V6-($F6-$E6)*$G6)</f>
        <v>0.784012451557885</v>
      </c>
      <c r="X6" s="75" t="n">
        <f aca="false">IF($B6="","",$W6*30)</f>
        <v>23.5203735467366</v>
      </c>
      <c r="Y6" s="28" t="str">
        <f aca="false">IF($B6="","",IF(AND(cfg_round_to&lt;=0.5,IFERROR(VALUE(cfg_ending),0)&gt;0),CEILING($R6-VALUE(cfg_ending),1)+VALUE(cfg_ending),""))</f>
        <v/>
      </c>
      <c r="Z6" s="28" t="str">
        <f aca="false">IF($B6="","",IF(AND(cfg_round_to&lt;=0.5,IFERROR(VALUE(cfg_ending),0)&gt;0),FLOOR($R6-VALUE(cfg_ending),1)+VALUE(cfg_ending),""))</f>
        <v/>
      </c>
      <c r="AA6" s="28" t="n">
        <f aca="false">IF($B6="","",IF(AND(cfg_round_to&lt;=0.5,IFERROR(VALUE(cfg_ending),0)&gt;0),VALUE(cfg_ending),0))</f>
        <v>0</v>
      </c>
    </row>
    <row r="7" customFormat="false" ht="15" hidden="false" customHeight="true" outlineLevel="0" collapsed="false">
      <c r="A7" s="15" t="n">
        <v>2</v>
      </c>
      <c r="B7" s="41" t="str">
        <f aca="false">IF(OWNER_INPUTS!B7="","",OWNER_INPUTS!B7)</f>
        <v>Matcha Latte</v>
      </c>
      <c r="C7" s="41" t="str">
        <f aca="false">IF($B7="","",OWNER_INPUTS!C7)</f>
        <v>Specialty Drink</v>
      </c>
      <c r="D7" s="41" t="str">
        <f aca="false">IF($B7="","",OWNER_INPUTS!D7)</f>
        <v>Profit Driver</v>
      </c>
      <c r="E7" s="42" t="n">
        <f aca="false">IF($B7="","",OWNER_INPUTS!E7)</f>
        <v>1.4</v>
      </c>
      <c r="F7" s="42" t="n">
        <f aca="false">IF($B7="","",OWNER_INPUTS!F7)</f>
        <v>4.8</v>
      </c>
      <c r="G7" s="68" t="n">
        <f aca="false">IF($B7="","",OWNER_INPUTS!G7/30)</f>
        <v>40</v>
      </c>
      <c r="H7" s="67" t="n">
        <f aca="false">IF($B7="","",IFERROR(  IF(ISNUMBER(INDEX(cal_estimate,MATCH($B7,cal_items,0))),    INDEX(cal_estimate,MATCH($B7,cal_items,0)),    IFERROR(VLOOKUP($C7,tbl_priors,2,FALSE()),      VLOOKUP("Other",tbl_priors,2,FALSE()))),  IFERROR(VLOOKUP($C7,tbl_priors,2,FALSE()),    VLOOKUP("Other",tbl_priors,2,FALSE()))))</f>
        <v>-1.3</v>
      </c>
      <c r="I7" s="45" t="str">
        <f aca="false">IF($B7="","",IF(IFERROR(ISNUMBER(INDEX(cal_estimate,MATCH($B7,cal_items,0))),FALSE()),"Estimated","Prior"))</f>
        <v>Prior</v>
      </c>
      <c r="J7" s="45" t="str">
        <f aca="false">IF($B7="","",IF($I7="Estimated",  IFERROR(INDEX(cal_conf,MATCH($B7,cal_items,0)),"LOW"),"LOW"))</f>
        <v>LOW</v>
      </c>
      <c r="K7" s="67" t="n">
        <f aca="false">IF($B7="","",IF($H7&lt;-1,$E7*$H7/($H7+1),"test"))</f>
        <v>6.06666666666667</v>
      </c>
      <c r="L7" s="73" t="n">
        <f aca="false">IF($B7="","",IF($J7="HIGH",cfg_shr_high,IF($J7="MEDIUM",cfg_shr_med,cfg_shr_low)))</f>
        <v>0.25</v>
      </c>
      <c r="M7" s="67" t="n">
        <f aca="false">IF($B7="","",IF($K7="test",  $F7*(1+IFERROR(VLOOKUP($D7,tbl_roles,4,FALSE()),    VLOOKUP("Other",tbl_roles,4,FALSE()))),  $F7+$L7*($K7-$F7)))</f>
        <v>5.11666666666667</v>
      </c>
      <c r="N7" s="73" t="n">
        <f aca="false">IF($B7="","",IFERROR(VLOOKUP($D7,tbl_roles,2,FALSE()),VLOOKUP("Other",tbl_roles,2,FALSE())))</f>
        <v>0.1</v>
      </c>
      <c r="O7" s="73" t="n">
        <f aca="false">IF($B7="","",IFERROR(VLOOKUP($D7,tbl_roles,3,FALSE()),VLOOKUP("Other",tbl_roles,3,FALSE())))</f>
        <v>-0.05</v>
      </c>
      <c r="P7" s="67" t="n">
        <f aca="false">IF($B7="","",MIN($F7*(1+$N7),MAX($F7*(1+$O7),$M7)))</f>
        <v>5.11666666666667</v>
      </c>
      <c r="Q7" s="67" t="n">
        <f aca="false">IF($B7="","",MIN($F7*(1+cfg_max_raise),MAX($F7*(1+cfg_max_cut),$P7)))</f>
        <v>5.11666666666667</v>
      </c>
      <c r="R7" s="67" t="n">
        <f aca="false">IF($B7="","",IF(cfg_currency="IDR",IF($B7="","",IFERROR(IF(AND($Q7&gt;INDEX(tbl_thr_idr,MATCH($Q7,INDEX(tbl_thr_idr,0,1),1),1),$Q7&lt;=INDEX(tbl_thr_idr,MATCH($Q7,INDEX(tbl_thr_idr,0,1),1),1)+INDEX(tbl_thr_idr,MATCH($Q7,INDEX(tbl_thr_idr,0,1),1),2)),FLOOR(INDEX(tbl_thr_idr,MATCH($Q7,INDEX(tbl_thr_idr,0,1),1),1)-1,cfg_round_to),$Q7),$Q7)),IF($B7="","",IFERROR(IF(AND($Q7&gt;INDEX(tbl_thr_usd,MATCH($Q7,INDEX(tbl_thr_usd,0,1),1),1),$Q7&lt;=INDEX(tbl_thr_usd,MATCH($Q7,INDEX(tbl_thr_usd,0,1),1),1)+INDEX(tbl_thr_usd,MATCH($Q7,INDEX(tbl_thr_usd,0,1),1),2)),FLOOR(INDEX(tbl_thr_usd,MATCH($Q7,INDEX(tbl_thr_usd,0,1),1),1)-0.01,cfg_round_to),$Q7),$Q7))))</f>
        <v>4.9</v>
      </c>
      <c r="S7" s="67" t="n">
        <f aca="false">IF($B7="","",cfg_round_to)</f>
        <v>0.1</v>
      </c>
      <c r="T7" s="74" t="n">
        <f aca="false">IF($B7="","",IF(N($AA7)=0,MIN(FLOOR($F7*(1+MIN($N7,cfg_max_raise)),$S7),MAX(CEILING($F7*(1+MAX($O7,cfg_max_cut)),$S7),MROUND($R7,$S7))),IF(SIGN(MIN(FLOOR($F7*(1+MIN($N7,cfg_max_raise)),$S7),MAX(CEILING($F7*(1+MAX($O7,cfg_max_cut)),$S7),MROUND($R7,$S7)))-$F7)&gt;0,IF(AND(N($Y7)&gt;=$F7,N($Y7)&gt;=CEILING($F7*(1+MAX($O7,cfg_max_cut)),$S7),N($Y7)&lt;=FLOOR($F7*(1+MIN($N7,cfg_max_raise)),$S7)),N($Y7),IF(AND(N($Z7)&gt;$F7,N($Z7)&gt;=CEILING($F7*(1+MAX($O7,cfg_max_cut)),$S7),N($Z7)&lt;=FLOOR($F7*(1+MIN($N7,cfg_max_raise)),$S7)),N($Z7),MIN(FLOOR($F7*(1+MIN($N7,cfg_max_raise)),$S7),MAX(CEILING($F7*(1+MAX($O7,cfg_max_cut)),$S7),MROUND($R7,$S7))))),IF(SIGN(MIN(FLOOR($F7*(1+MIN($N7,cfg_max_raise)),$S7),MAX(CEILING($F7*(1+MAX($O7,cfg_max_cut)),$S7),MROUND($R7,$S7)))-$F7)&lt;0,IF(AND(N($Z7)&lt;=$F7,N($Z7)&gt;=CEILING($F7*(1+MAX($O7,cfg_max_cut)),$S7),N($Z7)&lt;=FLOOR($F7*(1+MIN($N7,cfg_max_raise)),$S7)),N($Z7),IF(AND(N($Y7)&lt;$F7,N($Y7)&gt;=CEILING($F7*(1+MAX($O7,cfg_max_cut)),$S7),N($Y7)&lt;=FLOOR($F7*(1+MIN($N7,cfg_max_raise)),$S7)),N($Y7),MIN(FLOOR($F7*(1+MIN($N7,cfg_max_raise)),$S7),MAX(CEILING($F7*(1+MAX($O7,cfg_max_cut)),$S7),MROUND($R7,$S7))))),IF(ABS(N($Y7)-$F7)&lt;=ABS(N($Z7)-$F7),IF(AND(N($Y7)&gt;=CEILING($F7*(1+MAX($O7,cfg_max_cut)),$S7),N($Y7)&lt;=FLOOR($F7*(1+MIN($N7,cfg_max_raise)),$S7)),N($Y7),MIN(FLOOR($F7*(1+MIN($N7,cfg_max_raise)),$S7),MAX(CEILING($F7*(1+MAX($O7,cfg_max_cut)),$S7),MROUND($R7,$S7)))),IF(AND(N($Z7)&gt;=CEILING($F7*(1+MAX($O7,cfg_max_cut)),$S7),N($Z7)&lt;=FLOOR($F7*(1+MIN($N7,cfg_max_raise)),$S7)),N($Z7),MIN(FLOOR($F7*(1+MIN($N7,cfg_max_raise)),$S7),MAX(CEILING($F7*(1+MAX($O7,cfg_max_cut)),$S7),MROUND($R7,$S7)))))))))</f>
        <v>4.9</v>
      </c>
      <c r="U7" s="73" t="n">
        <f aca="false">IF($B7="","",IFERROR($T7/$F7-1,0))</f>
        <v>0.0208333333333335</v>
      </c>
      <c r="V7" s="68" t="n">
        <f aca="false">IF($B7="","",$G7*($T7/$F7)^$H7)</f>
        <v>38.9420397620201</v>
      </c>
      <c r="W7" s="75" t="n">
        <f aca="false">IF($B7="","",($T7-$E7)*$V7-($F7-$E7)*$G7)</f>
        <v>0.297139167070213</v>
      </c>
      <c r="X7" s="75" t="n">
        <f aca="false">IF($B7="","",$W7*30)</f>
        <v>8.9141750121064</v>
      </c>
      <c r="Y7" s="28" t="str">
        <f aca="false">IF($B7="","",IF(AND(cfg_round_to&lt;=0.5,IFERROR(VALUE(cfg_ending),0)&gt;0),CEILING($R7-VALUE(cfg_ending),1)+VALUE(cfg_ending),""))</f>
        <v/>
      </c>
      <c r="Z7" s="28" t="str">
        <f aca="false">IF($B7="","",IF(AND(cfg_round_to&lt;=0.5,IFERROR(VALUE(cfg_ending),0)&gt;0),FLOOR($R7-VALUE(cfg_ending),1)+VALUE(cfg_ending),""))</f>
        <v/>
      </c>
      <c r="AA7" s="28" t="n">
        <f aca="false">IF($B7="","",IF(AND(cfg_round_to&lt;=0.5,IFERROR(VALUE(cfg_ending),0)&gt;0),VALUE(cfg_ending),0))</f>
        <v>0</v>
      </c>
    </row>
    <row r="8" customFormat="false" ht="15" hidden="false" customHeight="true" outlineLevel="0" collapsed="false">
      <c r="A8" s="15" t="n">
        <v>3</v>
      </c>
      <c r="B8" s="41" t="str">
        <f aca="false">IF(OWNER_INPUTS!B8="","",OWNER_INPUTS!B8)</f>
        <v>Eggs Benedict</v>
      </c>
      <c r="C8" s="41" t="str">
        <f aca="false">IF($B8="","",OWNER_INPUTS!C8)</f>
        <v>Sandwich/Food</v>
      </c>
      <c r="D8" s="41" t="str">
        <f aca="false">IF($B8="","",OWNER_INPUTS!D8)</f>
        <v>Signature</v>
      </c>
      <c r="E8" s="42" t="n">
        <f aca="false">IF($B8="","",OWNER_INPUTS!E8)</f>
        <v>4.2</v>
      </c>
      <c r="F8" s="42" t="n">
        <f aca="false">IF($B8="","",OWNER_INPUTS!F8)</f>
        <v>9.8</v>
      </c>
      <c r="G8" s="68" t="n">
        <f aca="false">IF($B8="","",OWNER_INPUTS!G8/30)</f>
        <v>30</v>
      </c>
      <c r="H8" s="67" t="n">
        <f aca="false">IF($B8="","",IFERROR(  IF(ISNUMBER(INDEX(cal_estimate,MATCH($B8,cal_items,0))),    INDEX(cal_estimate,MATCH($B8,cal_items,0)),    IFERROR(VLOOKUP($C8,tbl_priors,2,FALSE()),      VLOOKUP("Other",tbl_priors,2,FALSE()))),  IFERROR(VLOOKUP($C8,tbl_priors,2,FALSE()),    VLOOKUP("Other",tbl_priors,2,FALSE()))))</f>
        <v>-0.8</v>
      </c>
      <c r="I8" s="45" t="str">
        <f aca="false">IF($B8="","",IF(IFERROR(ISNUMBER(INDEX(cal_estimate,MATCH($B8,cal_items,0))),FALSE()),"Estimated","Prior"))</f>
        <v>Prior</v>
      </c>
      <c r="J8" s="45" t="str">
        <f aca="false">IF($B8="","",IF($I8="Estimated",  IFERROR(INDEX(cal_conf,MATCH($B8,cal_items,0)),"LOW"),"LOW"))</f>
        <v>LOW</v>
      </c>
      <c r="K8" s="67" t="str">
        <f aca="false">IF($B8="","",IF($H8&lt;-1,$E8*$H8/($H8+1),"test"))</f>
        <v>test</v>
      </c>
      <c r="L8" s="73" t="n">
        <f aca="false">IF($B8="","",IF($J8="HIGH",cfg_shr_high,IF($J8="MEDIUM",cfg_shr_med,cfg_shr_low)))</f>
        <v>0.25</v>
      </c>
      <c r="M8" s="67" t="n">
        <f aca="false">IF($B8="","",IF($K8="test",  $F8*(1+IFERROR(VLOOKUP($D8,tbl_roles,4,FALSE()),    VLOOKUP("Other",tbl_roles,4,FALSE()))),  $F8+$L8*($K8-$F8)))</f>
        <v>10.29</v>
      </c>
      <c r="N8" s="73" t="n">
        <f aca="false">IF($B8="","",IFERROR(VLOOKUP($D8,tbl_roles,2,FALSE()),VLOOKUP("Other",tbl_roles,2,FALSE())))</f>
        <v>0.1</v>
      </c>
      <c r="O8" s="73" t="n">
        <f aca="false">IF($B8="","",IFERROR(VLOOKUP($D8,tbl_roles,3,FALSE()),VLOOKUP("Other",tbl_roles,3,FALSE())))</f>
        <v>-0.05</v>
      </c>
      <c r="P8" s="67" t="n">
        <f aca="false">IF($B8="","",MIN($F8*(1+$N8),MAX($F8*(1+$O8),$M8)))</f>
        <v>10.29</v>
      </c>
      <c r="Q8" s="67" t="n">
        <f aca="false">IF($B8="","",MIN($F8*(1+cfg_max_raise),MAX($F8*(1+cfg_max_cut),$P8)))</f>
        <v>10.29</v>
      </c>
      <c r="R8" s="67" t="n">
        <f aca="false">IF($B8="","",IF(cfg_currency="IDR",IF($B8="","",IFERROR(IF(AND($Q8&gt;INDEX(tbl_thr_idr,MATCH($Q8,INDEX(tbl_thr_idr,0,1),1),1),$Q8&lt;=INDEX(tbl_thr_idr,MATCH($Q8,INDEX(tbl_thr_idr,0,1),1),1)+INDEX(tbl_thr_idr,MATCH($Q8,INDEX(tbl_thr_idr,0,1),1),2)),FLOOR(INDEX(tbl_thr_idr,MATCH($Q8,INDEX(tbl_thr_idr,0,1),1),1)-1,cfg_round_to),$Q8),$Q8)),IF($B8="","",IFERROR(IF(AND($Q8&gt;INDEX(tbl_thr_usd,MATCH($Q8,INDEX(tbl_thr_usd,0,1),1),1),$Q8&lt;=INDEX(tbl_thr_usd,MATCH($Q8,INDEX(tbl_thr_usd,0,1),1),1)+INDEX(tbl_thr_usd,MATCH($Q8,INDEX(tbl_thr_usd,0,1),1),2)),FLOOR(INDEX(tbl_thr_usd,MATCH($Q8,INDEX(tbl_thr_usd,0,1),1),1)-0.01,cfg_round_to),$Q8),$Q8))))</f>
        <v>9.9</v>
      </c>
      <c r="S8" s="67" t="n">
        <f aca="false">IF($B8="","",cfg_round_to)</f>
        <v>0.1</v>
      </c>
      <c r="T8" s="74" t="n">
        <f aca="false">IF($B8="","",IF(N($AA8)=0,MIN(FLOOR($F8*(1+MIN($N8,cfg_max_raise)),$S8),MAX(CEILING($F8*(1+MAX($O8,cfg_max_cut)),$S8),MROUND($R8,$S8))),IF(SIGN(MIN(FLOOR($F8*(1+MIN($N8,cfg_max_raise)),$S8),MAX(CEILING($F8*(1+MAX($O8,cfg_max_cut)),$S8),MROUND($R8,$S8)))-$F8)&gt;0,IF(AND(N($Y8)&gt;=$F8,N($Y8)&gt;=CEILING($F8*(1+MAX($O8,cfg_max_cut)),$S8),N($Y8)&lt;=FLOOR($F8*(1+MIN($N8,cfg_max_raise)),$S8)),N($Y8),IF(AND(N($Z8)&gt;$F8,N($Z8)&gt;=CEILING($F8*(1+MAX($O8,cfg_max_cut)),$S8),N($Z8)&lt;=FLOOR($F8*(1+MIN($N8,cfg_max_raise)),$S8)),N($Z8),MIN(FLOOR($F8*(1+MIN($N8,cfg_max_raise)),$S8),MAX(CEILING($F8*(1+MAX($O8,cfg_max_cut)),$S8),MROUND($R8,$S8))))),IF(SIGN(MIN(FLOOR($F8*(1+MIN($N8,cfg_max_raise)),$S8),MAX(CEILING($F8*(1+MAX($O8,cfg_max_cut)),$S8),MROUND($R8,$S8)))-$F8)&lt;0,IF(AND(N($Z8)&lt;=$F8,N($Z8)&gt;=CEILING($F8*(1+MAX($O8,cfg_max_cut)),$S8),N($Z8)&lt;=FLOOR($F8*(1+MIN($N8,cfg_max_raise)),$S8)),N($Z8),IF(AND(N($Y8)&lt;$F8,N($Y8)&gt;=CEILING($F8*(1+MAX($O8,cfg_max_cut)),$S8),N($Y8)&lt;=FLOOR($F8*(1+MIN($N8,cfg_max_raise)),$S8)),N($Y8),MIN(FLOOR($F8*(1+MIN($N8,cfg_max_raise)),$S8),MAX(CEILING($F8*(1+MAX($O8,cfg_max_cut)),$S8),MROUND($R8,$S8))))),IF(ABS(N($Y8)-$F8)&lt;=ABS(N($Z8)-$F8),IF(AND(N($Y8)&gt;=CEILING($F8*(1+MAX($O8,cfg_max_cut)),$S8),N($Y8)&lt;=FLOOR($F8*(1+MIN($N8,cfg_max_raise)),$S8)),N($Y8),MIN(FLOOR($F8*(1+MIN($N8,cfg_max_raise)),$S8),MAX(CEILING($F8*(1+MAX($O8,cfg_max_cut)),$S8),MROUND($R8,$S8)))),IF(AND(N($Z8)&gt;=CEILING($F8*(1+MAX($O8,cfg_max_cut)),$S8),N($Z8)&lt;=FLOOR($F8*(1+MIN($N8,cfg_max_raise)),$S8)),N($Z8),MIN(FLOOR($F8*(1+MIN($N8,cfg_max_raise)),$S8),MAX(CEILING($F8*(1+MAX($O8,cfg_max_cut)),$S8),MROUND($R8,$S8)))))))))</f>
        <v>9.9</v>
      </c>
      <c r="U8" s="73" t="n">
        <f aca="false">IF($B8="","",IFERROR($T8/$F8-1,0))</f>
        <v>0.010204081632653</v>
      </c>
      <c r="V8" s="68" t="n">
        <f aca="false">IF($B8="","",$G8*($T8/$F8)^$H8)</f>
        <v>29.7573298896855</v>
      </c>
      <c r="W8" s="75" t="n">
        <f aca="false">IF($B8="","",($T8-$E8)*$V8-($F8-$E8)*$G8)</f>
        <v>1.61678037120728</v>
      </c>
      <c r="X8" s="75" t="n">
        <f aca="false">IF($B8="","",$W8*30)</f>
        <v>48.5034111362185</v>
      </c>
      <c r="Y8" s="28" t="str">
        <f aca="false">IF($B8="","",IF(AND(cfg_round_to&lt;=0.5,IFERROR(VALUE(cfg_ending),0)&gt;0),CEILING($R8-VALUE(cfg_ending),1)+VALUE(cfg_ending),""))</f>
        <v/>
      </c>
      <c r="Z8" s="28" t="str">
        <f aca="false">IF($B8="","",IF(AND(cfg_round_to&lt;=0.5,IFERROR(VALUE(cfg_ending),0)&gt;0),FLOOR($R8-VALUE(cfg_ending),1)+VALUE(cfg_ending),""))</f>
        <v/>
      </c>
      <c r="AA8" s="28" t="n">
        <f aca="false">IF($B8="","",IF(AND(cfg_round_to&lt;=0.5,IFERROR(VALUE(cfg_ending),0)&gt;0),VALUE(cfg_ending),0))</f>
        <v>0</v>
      </c>
    </row>
    <row r="9" customFormat="false" ht="15" hidden="false" customHeight="true" outlineLevel="0" collapsed="false">
      <c r="A9" s="15" t="n">
        <v>4</v>
      </c>
      <c r="B9" s="41" t="str">
        <f aca="false">IF(OWNER_INPUTS!B9="","",OWNER_INPUTS!B9)</f>
        <v>Avocado Toast</v>
      </c>
      <c r="C9" s="41" t="str">
        <f aca="false">IF($B9="","",OWNER_INPUTS!C9)</f>
        <v>Sandwich/Food</v>
      </c>
      <c r="D9" s="41" t="str">
        <f aca="false">IF($B9="","",OWNER_INPUTS!D9)</f>
        <v>Core</v>
      </c>
      <c r="E9" s="42" t="n">
        <f aca="false">IF($B9="","",OWNER_INPUTS!E9)</f>
        <v>4.5</v>
      </c>
      <c r="F9" s="42" t="n">
        <f aca="false">IF($B9="","",OWNER_INPUTS!F9)</f>
        <v>10.5</v>
      </c>
      <c r="G9" s="68" t="n">
        <f aca="false">IF($B9="","",OWNER_INPUTS!G9/30)</f>
        <v>35</v>
      </c>
      <c r="H9" s="67" t="n">
        <f aca="false">IF($B9="","",IFERROR(  IF(ISNUMBER(INDEX(cal_estimate,MATCH($B9,cal_items,0))),    INDEX(cal_estimate,MATCH($B9,cal_items,0)),    IFERROR(VLOOKUP($C9,tbl_priors,2,FALSE()),      VLOOKUP("Other",tbl_priors,2,FALSE()))),  IFERROR(VLOOKUP($C9,tbl_priors,2,FALSE()),    VLOOKUP("Other",tbl_priors,2,FALSE()))))</f>
        <v>-0.8</v>
      </c>
      <c r="I9" s="45" t="str">
        <f aca="false">IF($B9="","",IF(IFERROR(ISNUMBER(INDEX(cal_estimate,MATCH($B9,cal_items,0))),FALSE()),"Estimated","Prior"))</f>
        <v>Prior</v>
      </c>
      <c r="J9" s="45" t="str">
        <f aca="false">IF($B9="","",IF($I9="Estimated",  IFERROR(INDEX(cal_conf,MATCH($B9,cal_items,0)),"LOW"),"LOW"))</f>
        <v>LOW</v>
      </c>
      <c r="K9" s="67" t="str">
        <f aca="false">IF($B9="","",IF($H9&lt;-1,$E9*$H9/($H9+1),"test"))</f>
        <v>test</v>
      </c>
      <c r="L9" s="73" t="n">
        <f aca="false">IF($B9="","",IF($J9="HIGH",cfg_shr_high,IF($J9="MEDIUM",cfg_shr_med,cfg_shr_low)))</f>
        <v>0.25</v>
      </c>
      <c r="M9" s="67" t="n">
        <f aca="false">IF($B9="","",IF($K9="test",  $F9*(1+IFERROR(VLOOKUP($D9,tbl_roles,4,FALSE()),    VLOOKUP("Other",tbl_roles,4,FALSE()))),  $F9+$L9*($K9-$F9)))</f>
        <v>10.71</v>
      </c>
      <c r="N9" s="73" t="n">
        <f aca="false">IF($B9="","",IFERROR(VLOOKUP($D9,tbl_roles,2,FALSE()),VLOOKUP("Other",tbl_roles,2,FALSE())))</f>
        <v>0.06</v>
      </c>
      <c r="O9" s="73" t="n">
        <f aca="false">IF($B9="","",IFERROR(VLOOKUP($D9,tbl_roles,3,FALSE()),VLOOKUP("Other",tbl_roles,3,FALSE())))</f>
        <v>-0.05</v>
      </c>
      <c r="P9" s="67" t="n">
        <f aca="false">IF($B9="","",MIN($F9*(1+$N9),MAX($F9*(1+$O9),$M9)))</f>
        <v>10.71</v>
      </c>
      <c r="Q9" s="67" t="n">
        <f aca="false">IF($B9="","",MIN($F9*(1+cfg_max_raise),MAX($F9*(1+cfg_max_cut),$P9)))</f>
        <v>10.71</v>
      </c>
      <c r="R9" s="67" t="n">
        <f aca="false">IF($B9="","",IF(cfg_currency="IDR",IF($B9="","",IFERROR(IF(AND($Q9&gt;INDEX(tbl_thr_idr,MATCH($Q9,INDEX(tbl_thr_idr,0,1),1),1),$Q9&lt;=INDEX(tbl_thr_idr,MATCH($Q9,INDEX(tbl_thr_idr,0,1),1),1)+INDEX(tbl_thr_idr,MATCH($Q9,INDEX(tbl_thr_idr,0,1),1),2)),FLOOR(INDEX(tbl_thr_idr,MATCH($Q9,INDEX(tbl_thr_idr,0,1),1),1)-1,cfg_round_to),$Q9),$Q9)),IF($B9="","",IFERROR(IF(AND($Q9&gt;INDEX(tbl_thr_usd,MATCH($Q9,INDEX(tbl_thr_usd,0,1),1),1),$Q9&lt;=INDEX(tbl_thr_usd,MATCH($Q9,INDEX(tbl_thr_usd,0,1),1),1)+INDEX(tbl_thr_usd,MATCH($Q9,INDEX(tbl_thr_usd,0,1),1),2)),FLOOR(INDEX(tbl_thr_usd,MATCH($Q9,INDEX(tbl_thr_usd,0,1),1),1)-0.01,cfg_round_to),$Q9),$Q9))))</f>
        <v>10.71</v>
      </c>
      <c r="S9" s="67" t="n">
        <f aca="false">IF($B9="","",cfg_round_to)</f>
        <v>0.1</v>
      </c>
      <c r="T9" s="74" t="n">
        <f aca="false">IF($B9="","",IF(N($AA9)=0,MIN(FLOOR($F9*(1+MIN($N9,cfg_max_raise)),$S9),MAX(CEILING($F9*(1+MAX($O9,cfg_max_cut)),$S9),MROUND($R9,$S9))),IF(SIGN(MIN(FLOOR($F9*(1+MIN($N9,cfg_max_raise)),$S9),MAX(CEILING($F9*(1+MAX($O9,cfg_max_cut)),$S9),MROUND($R9,$S9)))-$F9)&gt;0,IF(AND(N($Y9)&gt;=$F9,N($Y9)&gt;=CEILING($F9*(1+MAX($O9,cfg_max_cut)),$S9),N($Y9)&lt;=FLOOR($F9*(1+MIN($N9,cfg_max_raise)),$S9)),N($Y9),IF(AND(N($Z9)&gt;$F9,N($Z9)&gt;=CEILING($F9*(1+MAX($O9,cfg_max_cut)),$S9),N($Z9)&lt;=FLOOR($F9*(1+MIN($N9,cfg_max_raise)),$S9)),N($Z9),MIN(FLOOR($F9*(1+MIN($N9,cfg_max_raise)),$S9),MAX(CEILING($F9*(1+MAX($O9,cfg_max_cut)),$S9),MROUND($R9,$S9))))),IF(SIGN(MIN(FLOOR($F9*(1+MIN($N9,cfg_max_raise)),$S9),MAX(CEILING($F9*(1+MAX($O9,cfg_max_cut)),$S9),MROUND($R9,$S9)))-$F9)&lt;0,IF(AND(N($Z9)&lt;=$F9,N($Z9)&gt;=CEILING($F9*(1+MAX($O9,cfg_max_cut)),$S9),N($Z9)&lt;=FLOOR($F9*(1+MIN($N9,cfg_max_raise)),$S9)),N($Z9),IF(AND(N($Y9)&lt;$F9,N($Y9)&gt;=CEILING($F9*(1+MAX($O9,cfg_max_cut)),$S9),N($Y9)&lt;=FLOOR($F9*(1+MIN($N9,cfg_max_raise)),$S9)),N($Y9),MIN(FLOOR($F9*(1+MIN($N9,cfg_max_raise)),$S9),MAX(CEILING($F9*(1+MAX($O9,cfg_max_cut)),$S9),MROUND($R9,$S9))))),IF(ABS(N($Y9)-$F9)&lt;=ABS(N($Z9)-$F9),IF(AND(N($Y9)&gt;=CEILING($F9*(1+MAX($O9,cfg_max_cut)),$S9),N($Y9)&lt;=FLOOR($F9*(1+MIN($N9,cfg_max_raise)),$S9)),N($Y9),MIN(FLOOR($F9*(1+MIN($N9,cfg_max_raise)),$S9),MAX(CEILING($F9*(1+MAX($O9,cfg_max_cut)),$S9),MROUND($R9,$S9)))),IF(AND(N($Z9)&gt;=CEILING($F9*(1+MAX($O9,cfg_max_cut)),$S9),N($Z9)&lt;=FLOOR($F9*(1+MIN($N9,cfg_max_raise)),$S9)),N($Z9),MIN(FLOOR($F9*(1+MIN($N9,cfg_max_raise)),$S9),MAX(CEILING($F9*(1+MAX($O9,cfg_max_cut)),$S9),MROUND($R9,$S9)))))))))</f>
        <v>10.7</v>
      </c>
      <c r="U9" s="73" t="n">
        <f aca="false">IF($B9="","",IFERROR($T9/$F9-1,0))</f>
        <v>0.0190476190476192</v>
      </c>
      <c r="V9" s="68" t="n">
        <f aca="false">IF($B9="","",$G9*($T9/$F9)^$H9)</f>
        <v>34.4756498725117</v>
      </c>
      <c r="W9" s="75" t="n">
        <f aca="false">IF($B9="","",($T9-$E9)*$V9-($F9-$E9)*$G9)</f>
        <v>3.74902920957243</v>
      </c>
      <c r="X9" s="75" t="n">
        <f aca="false">IF($B9="","",$W9*30)</f>
        <v>112.470876287173</v>
      </c>
      <c r="Y9" s="28" t="str">
        <f aca="false">IF($B9="","",IF(AND(cfg_round_to&lt;=0.5,IFERROR(VALUE(cfg_ending),0)&gt;0),CEILING($R9-VALUE(cfg_ending),1)+VALUE(cfg_ending),""))</f>
        <v/>
      </c>
      <c r="Z9" s="28" t="str">
        <f aca="false">IF($B9="","",IF(AND(cfg_round_to&lt;=0.5,IFERROR(VALUE(cfg_ending),0)&gt;0),FLOOR($R9-VALUE(cfg_ending),1)+VALUE(cfg_ending),""))</f>
        <v/>
      </c>
      <c r="AA9" s="28" t="n">
        <f aca="false">IF($B9="","",IF(AND(cfg_round_to&lt;=0.5,IFERROR(VALUE(cfg_ending),0)&gt;0),VALUE(cfg_ending),0))</f>
        <v>0</v>
      </c>
    </row>
    <row r="10" customFormat="false" ht="15" hidden="false" customHeight="true" outlineLevel="0" collapsed="false">
      <c r="A10" s="15" t="n">
        <v>5</v>
      </c>
      <c r="B10" s="41" t="str">
        <f aca="false">IF(OWNER_INPUTS!B10="","",OWNER_INPUTS!B10)</f>
        <v>Pancakes</v>
      </c>
      <c r="C10" s="41" t="str">
        <f aca="false">IF($B10="","",OWNER_INPUTS!C10)</f>
        <v>Pastry</v>
      </c>
      <c r="D10" s="41" t="str">
        <f aca="false">IF($B10="","",OWNER_INPUTS!D10)</f>
        <v>Premium Anchor</v>
      </c>
      <c r="E10" s="42" t="n">
        <f aca="false">IF($B10="","",OWNER_INPUTS!E10)</f>
        <v>3.5</v>
      </c>
      <c r="F10" s="42" t="n">
        <f aca="false">IF($B10="","",OWNER_INPUTS!F10)</f>
        <v>8.8</v>
      </c>
      <c r="G10" s="68" t="n">
        <f aca="false">IF($B10="","",OWNER_INPUTS!G10/30)</f>
        <v>25</v>
      </c>
      <c r="H10" s="67" t="n">
        <f aca="false">IF($B10="","",IFERROR(  IF(ISNUMBER(INDEX(cal_estimate,MATCH($B10,cal_items,0))),    INDEX(cal_estimate,MATCH($B10,cal_items,0)),    IFERROR(VLOOKUP($C10,tbl_priors,2,FALSE()),      VLOOKUP("Other",tbl_priors,2,FALSE()))),  IFERROR(VLOOKUP($C10,tbl_priors,2,FALSE()),    VLOOKUP("Other",tbl_priors,2,FALSE()))))</f>
        <v>-0.9</v>
      </c>
      <c r="I10" s="45" t="str">
        <f aca="false">IF($B10="","",IF(IFERROR(ISNUMBER(INDEX(cal_estimate,MATCH($B10,cal_items,0))),FALSE()),"Estimated","Prior"))</f>
        <v>Prior</v>
      </c>
      <c r="J10" s="45" t="str">
        <f aca="false">IF($B10="","",IF($I10="Estimated",  IFERROR(INDEX(cal_conf,MATCH($B10,cal_items,0)),"LOW"),"LOW"))</f>
        <v>LOW</v>
      </c>
      <c r="K10" s="67" t="str">
        <f aca="false">IF($B10="","",IF($H10&lt;-1,$E10*$H10/($H10+1),"test"))</f>
        <v>test</v>
      </c>
      <c r="L10" s="73" t="n">
        <f aca="false">IF($B10="","",IF($J10="HIGH",cfg_shr_high,IF($J10="MEDIUM",cfg_shr_med,cfg_shr_low)))</f>
        <v>0.25</v>
      </c>
      <c r="M10" s="67" t="n">
        <f aca="false">IF($B10="","",IF($K10="test",  $F10*(1+IFERROR(VLOOKUP($D10,tbl_roles,4,FALSE()),    VLOOKUP("Other",tbl_roles,4,FALSE()))),  $F10+$L10*($K10-$F10)))</f>
        <v>9.24</v>
      </c>
      <c r="N10" s="73" t="n">
        <f aca="false">IF($B10="","",IFERROR(VLOOKUP($D10,tbl_roles,2,FALSE()),VLOOKUP("Other",tbl_roles,2,FALSE())))</f>
        <v>0.1</v>
      </c>
      <c r="O10" s="73" t="n">
        <f aca="false">IF($B10="","",IFERROR(VLOOKUP($D10,tbl_roles,3,FALSE()),VLOOKUP("Other",tbl_roles,3,FALSE())))</f>
        <v>-0.05</v>
      </c>
      <c r="P10" s="67" t="n">
        <f aca="false">IF($B10="","",MIN($F10*(1+$N10),MAX($F10*(1+$O10),$M10)))</f>
        <v>9.24</v>
      </c>
      <c r="Q10" s="67" t="n">
        <f aca="false">IF($B10="","",MIN($F10*(1+cfg_max_raise),MAX($F10*(1+cfg_max_cut),$P10)))</f>
        <v>9.24</v>
      </c>
      <c r="R10" s="67" t="n">
        <f aca="false">IF($B10="","",IF(cfg_currency="IDR",IF($B10="","",IFERROR(IF(AND($Q10&gt;INDEX(tbl_thr_idr,MATCH($Q10,INDEX(tbl_thr_idr,0,1),1),1),$Q10&lt;=INDEX(tbl_thr_idr,MATCH($Q10,INDEX(tbl_thr_idr,0,1),1),1)+INDEX(tbl_thr_idr,MATCH($Q10,INDEX(tbl_thr_idr,0,1),1),2)),FLOOR(INDEX(tbl_thr_idr,MATCH($Q10,INDEX(tbl_thr_idr,0,1),1),1)-1,cfg_round_to),$Q10),$Q10)),IF($B10="","",IFERROR(IF(AND($Q10&gt;INDEX(tbl_thr_usd,MATCH($Q10,INDEX(tbl_thr_usd,0,1),1),1),$Q10&lt;=INDEX(tbl_thr_usd,MATCH($Q10,INDEX(tbl_thr_usd,0,1),1),1)+INDEX(tbl_thr_usd,MATCH($Q10,INDEX(tbl_thr_usd,0,1),1),2)),FLOOR(INDEX(tbl_thr_usd,MATCH($Q10,INDEX(tbl_thr_usd,0,1),1),1)-0.01,cfg_round_to),$Q10),$Q10))))</f>
        <v>9.24</v>
      </c>
      <c r="S10" s="67" t="n">
        <f aca="false">IF($B10="","",cfg_round_to)</f>
        <v>0.1</v>
      </c>
      <c r="T10" s="74" t="n">
        <f aca="false">IF($B10="","",IF(N($AA10)=0,MIN(FLOOR($F10*(1+MIN($N10,cfg_max_raise)),$S10),MAX(CEILING($F10*(1+MAX($O10,cfg_max_cut)),$S10),MROUND($R10,$S10))),IF(SIGN(MIN(FLOOR($F10*(1+MIN($N10,cfg_max_raise)),$S10),MAX(CEILING($F10*(1+MAX($O10,cfg_max_cut)),$S10),MROUND($R10,$S10)))-$F10)&gt;0,IF(AND(N($Y10)&gt;=$F10,N($Y10)&gt;=CEILING($F10*(1+MAX($O10,cfg_max_cut)),$S10),N($Y10)&lt;=FLOOR($F10*(1+MIN($N10,cfg_max_raise)),$S10)),N($Y10),IF(AND(N($Z10)&gt;$F10,N($Z10)&gt;=CEILING($F10*(1+MAX($O10,cfg_max_cut)),$S10),N($Z10)&lt;=FLOOR($F10*(1+MIN($N10,cfg_max_raise)),$S10)),N($Z10),MIN(FLOOR($F10*(1+MIN($N10,cfg_max_raise)),$S10),MAX(CEILING($F10*(1+MAX($O10,cfg_max_cut)),$S10),MROUND($R10,$S10))))),IF(SIGN(MIN(FLOOR($F10*(1+MIN($N10,cfg_max_raise)),$S10),MAX(CEILING($F10*(1+MAX($O10,cfg_max_cut)),$S10),MROUND($R10,$S10)))-$F10)&lt;0,IF(AND(N($Z10)&lt;=$F10,N($Z10)&gt;=CEILING($F10*(1+MAX($O10,cfg_max_cut)),$S10),N($Z10)&lt;=FLOOR($F10*(1+MIN($N10,cfg_max_raise)),$S10)),N($Z10),IF(AND(N($Y10)&lt;$F10,N($Y10)&gt;=CEILING($F10*(1+MAX($O10,cfg_max_cut)),$S10),N($Y10)&lt;=FLOOR($F10*(1+MIN($N10,cfg_max_raise)),$S10)),N($Y10),MIN(FLOOR($F10*(1+MIN($N10,cfg_max_raise)),$S10),MAX(CEILING($F10*(1+MAX($O10,cfg_max_cut)),$S10),MROUND($R10,$S10))))),IF(ABS(N($Y10)-$F10)&lt;=ABS(N($Z10)-$F10),IF(AND(N($Y10)&gt;=CEILING($F10*(1+MAX($O10,cfg_max_cut)),$S10),N($Y10)&lt;=FLOOR($F10*(1+MIN($N10,cfg_max_raise)),$S10)),N($Y10),MIN(FLOOR($F10*(1+MIN($N10,cfg_max_raise)),$S10),MAX(CEILING($F10*(1+MAX($O10,cfg_max_cut)),$S10),MROUND($R10,$S10)))),IF(AND(N($Z10)&gt;=CEILING($F10*(1+MAX($O10,cfg_max_cut)),$S10),N($Z10)&lt;=FLOOR($F10*(1+MIN($N10,cfg_max_raise)),$S10)),N($Z10),MIN(FLOOR($F10*(1+MIN($N10,cfg_max_raise)),$S10),MAX(CEILING($F10*(1+MAX($O10,cfg_max_cut)),$S10),MROUND($R10,$S10)))))))))</f>
        <v>9.2</v>
      </c>
      <c r="U10" s="73" t="n">
        <f aca="false">IF($B10="","",IFERROR($T10/$F10-1,0))</f>
        <v>0.0454545454545454</v>
      </c>
      <c r="V10" s="68" t="n">
        <f aca="false">IF($B10="","",$G10*($T10/$F10)^$H10)</f>
        <v>24.0195777778117</v>
      </c>
      <c r="W10" s="75" t="n">
        <f aca="false">IF($B10="","",($T10-$E10)*$V10-($F10-$E10)*$G10)</f>
        <v>4.4115933335267</v>
      </c>
      <c r="X10" s="75" t="n">
        <f aca="false">IF($B10="","",$W10*30)</f>
        <v>132.347800005801</v>
      </c>
      <c r="Y10" s="28" t="str">
        <f aca="false">IF($B10="","",IF(AND(cfg_round_to&lt;=0.5,IFERROR(VALUE(cfg_ending),0)&gt;0),CEILING($R10-VALUE(cfg_ending),1)+VALUE(cfg_ending),""))</f>
        <v/>
      </c>
      <c r="Z10" s="28" t="str">
        <f aca="false">IF($B10="","",IF(AND(cfg_round_to&lt;=0.5,IFERROR(VALUE(cfg_ending),0)&gt;0),FLOOR($R10-VALUE(cfg_ending),1)+VALUE(cfg_ending),""))</f>
        <v/>
      </c>
      <c r="AA10" s="28" t="n">
        <f aca="false">IF($B10="","",IF(AND(cfg_round_to&lt;=0.5,IFERROR(VALUE(cfg_ending),0)&gt;0),VALUE(cfg_ending),0))</f>
        <v>0</v>
      </c>
    </row>
    <row r="11" customFormat="false" ht="15" hidden="false" customHeight="true" outlineLevel="0" collapsed="false">
      <c r="A11" s="15" t="n">
        <v>6</v>
      </c>
      <c r="B11" s="41" t="str">
        <f aca="false">IF(OWNER_INPUTS!B11="","",OWNER_INPUTS!B11)</f>
        <v>Cheesecake</v>
      </c>
      <c r="C11" s="41" t="str">
        <f aca="false">IF($B11="","",OWNER_INPUTS!C11)</f>
        <v>Dessert</v>
      </c>
      <c r="D11" s="41" t="str">
        <f aca="false">IF($B11="","",OWNER_INPUTS!D11)</f>
        <v>Profit Driver</v>
      </c>
      <c r="E11" s="42" t="n">
        <f aca="false">IF($B11="","",OWNER_INPUTS!E11)</f>
        <v>2.1</v>
      </c>
      <c r="F11" s="42" t="n">
        <f aca="false">IF($B11="","",OWNER_INPUTS!F11)</f>
        <v>5.8</v>
      </c>
      <c r="G11" s="68" t="n">
        <f aca="false">IF($B11="","",OWNER_INPUTS!G11/30)</f>
        <v>15</v>
      </c>
      <c r="H11" s="67" t="n">
        <f aca="false">IF($B11="","",IFERROR(  IF(ISNUMBER(INDEX(cal_estimate,MATCH($B11,cal_items,0))),    INDEX(cal_estimate,MATCH($B11,cal_items,0)),    IFERROR(VLOOKUP($C11,tbl_priors,2,FALSE()),      VLOOKUP("Other",tbl_priors,2,FALSE()))),  IFERROR(VLOOKUP($C11,tbl_priors,2,FALSE()),    VLOOKUP("Other",tbl_priors,2,FALSE()))))</f>
        <v>-1</v>
      </c>
      <c r="I11" s="45" t="str">
        <f aca="false">IF($B11="","",IF(IFERROR(ISNUMBER(INDEX(cal_estimate,MATCH($B11,cal_items,0))),FALSE()),"Estimated","Prior"))</f>
        <v>Prior</v>
      </c>
      <c r="J11" s="45" t="str">
        <f aca="false">IF($B11="","",IF($I11="Estimated",  IFERROR(INDEX(cal_conf,MATCH($B11,cal_items,0)),"LOW"),"LOW"))</f>
        <v>LOW</v>
      </c>
      <c r="K11" s="67" t="str">
        <f aca="false">IF($B11="","",IF($H11&lt;-1,$E11*$H11/($H11+1),"test"))</f>
        <v>test</v>
      </c>
      <c r="L11" s="73" t="n">
        <f aca="false">IF($B11="","",IF($J11="HIGH",cfg_shr_high,IF($J11="MEDIUM",cfg_shr_med,cfg_shr_low)))</f>
        <v>0.25</v>
      </c>
      <c r="M11" s="67" t="n">
        <f aca="false">IF($B11="","",IF($K11="test",  $F11*(1+IFERROR(VLOOKUP($D11,tbl_roles,4,FALSE()),    VLOOKUP("Other",tbl_roles,4,FALSE()))),  $F11+$L11*($K11-$F11)))</f>
        <v>6.09</v>
      </c>
      <c r="N11" s="73" t="n">
        <f aca="false">IF($B11="","",IFERROR(VLOOKUP($D11,tbl_roles,2,FALSE()),VLOOKUP("Other",tbl_roles,2,FALSE())))</f>
        <v>0.1</v>
      </c>
      <c r="O11" s="73" t="n">
        <f aca="false">IF($B11="","",IFERROR(VLOOKUP($D11,tbl_roles,3,FALSE()),VLOOKUP("Other",tbl_roles,3,FALSE())))</f>
        <v>-0.05</v>
      </c>
      <c r="P11" s="67" t="n">
        <f aca="false">IF($B11="","",MIN($F11*(1+$N11),MAX($F11*(1+$O11),$M11)))</f>
        <v>6.09</v>
      </c>
      <c r="Q11" s="67" t="n">
        <f aca="false">IF($B11="","",MIN($F11*(1+cfg_max_raise),MAX($F11*(1+cfg_max_cut),$P11)))</f>
        <v>6.09</v>
      </c>
      <c r="R11" s="67" t="n">
        <f aca="false">IF($B11="","",IF(cfg_currency="IDR",IF($B11="","",IFERROR(IF(AND($Q11&gt;INDEX(tbl_thr_idr,MATCH($Q11,INDEX(tbl_thr_idr,0,1),1),1),$Q11&lt;=INDEX(tbl_thr_idr,MATCH($Q11,INDEX(tbl_thr_idr,0,1),1),1)+INDEX(tbl_thr_idr,MATCH($Q11,INDEX(tbl_thr_idr,0,1),1),2)),FLOOR(INDEX(tbl_thr_idr,MATCH($Q11,INDEX(tbl_thr_idr,0,1),1),1)-1,cfg_round_to),$Q11),$Q11)),IF($B11="","",IFERROR(IF(AND($Q11&gt;INDEX(tbl_thr_usd,MATCH($Q11,INDEX(tbl_thr_usd,0,1),1),1),$Q11&lt;=INDEX(tbl_thr_usd,MATCH($Q11,INDEX(tbl_thr_usd,0,1),1),1)+INDEX(tbl_thr_usd,MATCH($Q11,INDEX(tbl_thr_usd,0,1),1),2)),FLOOR(INDEX(tbl_thr_usd,MATCH($Q11,INDEX(tbl_thr_usd,0,1),1),1)-0.01,cfg_round_to),$Q11),$Q11))))</f>
        <v>6.09</v>
      </c>
      <c r="S11" s="67" t="n">
        <f aca="false">IF($B11="","",cfg_round_to)</f>
        <v>0.1</v>
      </c>
      <c r="T11" s="74" t="n">
        <f aca="false">IF($B11="","",IF(N($AA11)=0,MIN(FLOOR($F11*(1+MIN($N11,cfg_max_raise)),$S11),MAX(CEILING($F11*(1+MAX($O11,cfg_max_cut)),$S11),MROUND($R11,$S11))),IF(SIGN(MIN(FLOOR($F11*(1+MIN($N11,cfg_max_raise)),$S11),MAX(CEILING($F11*(1+MAX($O11,cfg_max_cut)),$S11),MROUND($R11,$S11)))-$F11)&gt;0,IF(AND(N($Y11)&gt;=$F11,N($Y11)&gt;=CEILING($F11*(1+MAX($O11,cfg_max_cut)),$S11),N($Y11)&lt;=FLOOR($F11*(1+MIN($N11,cfg_max_raise)),$S11)),N($Y11),IF(AND(N($Z11)&gt;$F11,N($Z11)&gt;=CEILING($F11*(1+MAX($O11,cfg_max_cut)),$S11),N($Z11)&lt;=FLOOR($F11*(1+MIN($N11,cfg_max_raise)),$S11)),N($Z11),MIN(FLOOR($F11*(1+MIN($N11,cfg_max_raise)),$S11),MAX(CEILING($F11*(1+MAX($O11,cfg_max_cut)),$S11),MROUND($R11,$S11))))),IF(SIGN(MIN(FLOOR($F11*(1+MIN($N11,cfg_max_raise)),$S11),MAX(CEILING($F11*(1+MAX($O11,cfg_max_cut)),$S11),MROUND($R11,$S11)))-$F11)&lt;0,IF(AND(N($Z11)&lt;=$F11,N($Z11)&gt;=CEILING($F11*(1+MAX($O11,cfg_max_cut)),$S11),N($Z11)&lt;=FLOOR($F11*(1+MIN($N11,cfg_max_raise)),$S11)),N($Z11),IF(AND(N($Y11)&lt;$F11,N($Y11)&gt;=CEILING($F11*(1+MAX($O11,cfg_max_cut)),$S11),N($Y11)&lt;=FLOOR($F11*(1+MIN($N11,cfg_max_raise)),$S11)),N($Y11),MIN(FLOOR($F11*(1+MIN($N11,cfg_max_raise)),$S11),MAX(CEILING($F11*(1+MAX($O11,cfg_max_cut)),$S11),MROUND($R11,$S11))))),IF(ABS(N($Y11)-$F11)&lt;=ABS(N($Z11)-$F11),IF(AND(N($Y11)&gt;=CEILING($F11*(1+MAX($O11,cfg_max_cut)),$S11),N($Y11)&lt;=FLOOR($F11*(1+MIN($N11,cfg_max_raise)),$S11)),N($Y11),MIN(FLOOR($F11*(1+MIN($N11,cfg_max_raise)),$S11),MAX(CEILING($F11*(1+MAX($O11,cfg_max_cut)),$S11),MROUND($R11,$S11)))),IF(AND(N($Z11)&gt;=CEILING($F11*(1+MAX($O11,cfg_max_cut)),$S11),N($Z11)&lt;=FLOOR($F11*(1+MIN($N11,cfg_max_raise)),$S11)),N($Z11),MIN(FLOOR($F11*(1+MIN($N11,cfg_max_raise)),$S11),MAX(CEILING($F11*(1+MAX($O11,cfg_max_cut)),$S11),MROUND($R11,$S11)))))))))</f>
        <v>6.1</v>
      </c>
      <c r="U11" s="73" t="n">
        <f aca="false">IF($B11="","",IFERROR($T11/$F11-1,0))</f>
        <v>0.0517241379310347</v>
      </c>
      <c r="V11" s="68" t="n">
        <f aca="false">IF($B11="","",$G11*($T11/$F11)^$H11)</f>
        <v>14.2622950819672</v>
      </c>
      <c r="W11" s="75" t="n">
        <f aca="false">IF($B11="","",($T11-$E11)*$V11-($F11-$E11)*$G11)</f>
        <v>1.54918032786885</v>
      </c>
      <c r="X11" s="75" t="n">
        <f aca="false">IF($B11="","",$W11*30)</f>
        <v>46.4754098360654</v>
      </c>
      <c r="Y11" s="28" t="str">
        <f aca="false">IF($B11="","",IF(AND(cfg_round_to&lt;=0.5,IFERROR(VALUE(cfg_ending),0)&gt;0),CEILING($R11-VALUE(cfg_ending),1)+VALUE(cfg_ending),""))</f>
        <v/>
      </c>
      <c r="Z11" s="28" t="str">
        <f aca="false">IF($B11="","",IF(AND(cfg_round_to&lt;=0.5,IFERROR(VALUE(cfg_ending),0)&gt;0),FLOOR($R11-VALUE(cfg_ending),1)+VALUE(cfg_ending),""))</f>
        <v/>
      </c>
      <c r="AA11" s="28" t="n">
        <f aca="false">IF($B11="","",IF(AND(cfg_round_to&lt;=0.5,IFERROR(VALUE(cfg_ending),0)&gt;0),VALUE(cfg_ending),0))</f>
        <v>0</v>
      </c>
    </row>
    <row r="12" customFormat="false" ht="15" hidden="false" customHeight="true" outlineLevel="0" collapsed="false">
      <c r="A12" s="15" t="n">
        <v>7</v>
      </c>
      <c r="B12" s="41" t="str">
        <f aca="false">IF(OWNER_INPUTS!B12="","",OWNER_INPUTS!B12)</f>
        <v/>
      </c>
      <c r="C12" s="41" t="str">
        <f aca="false">IF($B12="","",OWNER_INPUTS!C12)</f>
        <v/>
      </c>
      <c r="D12" s="41" t="str">
        <f aca="false">IF($B12="","",OWNER_INPUTS!D12)</f>
        <v/>
      </c>
      <c r="E12" s="42" t="str">
        <f aca="false">IF($B12="","",OWNER_INPUTS!E12)</f>
        <v/>
      </c>
      <c r="F12" s="42" t="str">
        <f aca="false">IF($B12="","",OWNER_INPUTS!F12)</f>
        <v/>
      </c>
      <c r="G12" s="68" t="str">
        <f aca="false">IF($B12="","",OWNER_INPUTS!G12/30)</f>
        <v/>
      </c>
      <c r="H12" s="67" t="str">
        <f aca="false">IF($B12="","",IFERROR(  IF(ISNUMBER(INDEX(cal_estimate,MATCH($B12,cal_items,0))),    INDEX(cal_estimate,MATCH($B12,cal_items,0)),    IFERROR(VLOOKUP($C12,tbl_priors,2,FALSE()),      VLOOKUP("Other",tbl_priors,2,FALSE()))),  IFERROR(VLOOKUP($C12,tbl_priors,2,FALSE()),    VLOOKUP("Other",tbl_priors,2,FALSE()))))</f>
        <v/>
      </c>
      <c r="I12" s="45" t="str">
        <f aca="false">IF($B12="","",IF(IFERROR(ISNUMBER(INDEX(cal_estimate,MATCH($B12,cal_items,0))),FALSE()),"Estimated","Prior"))</f>
        <v/>
      </c>
      <c r="J12" s="45" t="str">
        <f aca="false">IF($B12="","",IF($I12="Estimated",  IFERROR(INDEX(cal_conf,MATCH($B12,cal_items,0)),"LOW"),"LOW"))</f>
        <v/>
      </c>
      <c r="K12" s="67" t="str">
        <f aca="false">IF($B12="","",IF($H12&lt;-1,$E12*$H12/($H12+1),"test"))</f>
        <v/>
      </c>
      <c r="L12" s="73" t="str">
        <f aca="false">IF($B12="","",IF($J12="HIGH",cfg_shr_high,IF($J12="MEDIUM",cfg_shr_med,cfg_shr_low)))</f>
        <v/>
      </c>
      <c r="M12" s="67" t="str">
        <f aca="false">IF($B12="","",IF($K12="test",  $F12*(1+IFERROR(VLOOKUP($D12,tbl_roles,4,FALSE()),    VLOOKUP("Other",tbl_roles,4,FALSE()))),  $F12+$L12*($K12-$F12)))</f>
        <v/>
      </c>
      <c r="N12" s="73" t="str">
        <f aca="false">IF($B12="","",IFERROR(VLOOKUP($D12,tbl_roles,2,FALSE()),VLOOKUP("Other",tbl_roles,2,FALSE())))</f>
        <v/>
      </c>
      <c r="O12" s="73" t="str">
        <f aca="false">IF($B12="","",IFERROR(VLOOKUP($D12,tbl_roles,3,FALSE()),VLOOKUP("Other",tbl_roles,3,FALSE())))</f>
        <v/>
      </c>
      <c r="P12" s="67" t="str">
        <f aca="false">IF($B12="","",MIN($F12*(1+$N12),MAX($F12*(1+$O12),$M12)))</f>
        <v/>
      </c>
      <c r="Q12" s="67" t="str">
        <f aca="false">IF($B12="","",MIN($F12*(1+cfg_max_raise),MAX($F12*(1+cfg_max_cut),$P12)))</f>
        <v/>
      </c>
      <c r="R12" s="67" t="str">
        <f aca="false">IF($B12="","",IF(cfg_currency="IDR",IF($B12="","",IFERROR(IF(AND($Q12&gt;INDEX(tbl_thr_idr,MATCH($Q12,INDEX(tbl_thr_idr,0,1),1),1),$Q12&lt;=INDEX(tbl_thr_idr,MATCH($Q12,INDEX(tbl_thr_idr,0,1),1),1)+INDEX(tbl_thr_idr,MATCH($Q12,INDEX(tbl_thr_idr,0,1),1),2)),FLOOR(INDEX(tbl_thr_idr,MATCH($Q12,INDEX(tbl_thr_idr,0,1),1),1)-1,cfg_round_to),$Q12),$Q12)),IF($B12="","",IFERROR(IF(AND($Q12&gt;INDEX(tbl_thr_usd,MATCH($Q12,INDEX(tbl_thr_usd,0,1),1),1),$Q12&lt;=INDEX(tbl_thr_usd,MATCH($Q12,INDEX(tbl_thr_usd,0,1),1),1)+INDEX(tbl_thr_usd,MATCH($Q12,INDEX(tbl_thr_usd,0,1),1),2)),FLOOR(INDEX(tbl_thr_usd,MATCH($Q12,INDEX(tbl_thr_usd,0,1),1),1)-0.01,cfg_round_to),$Q12),$Q12))))</f>
        <v/>
      </c>
      <c r="S12" s="67" t="str">
        <f aca="false">IF($B12="","",cfg_round_to)</f>
        <v/>
      </c>
      <c r="T12" s="74" t="str">
        <f aca="false">IF($B12="","",IF(N($AA12)=0,MIN(FLOOR($F12*(1+MIN($N12,cfg_max_raise)),$S12),MAX(CEILING($F12*(1+MAX($O12,cfg_max_cut)),$S12),MROUND($R12,$S12))),IF(SIGN(MIN(FLOOR($F12*(1+MIN($N12,cfg_max_raise)),$S12),MAX(CEILING($F12*(1+MAX($O12,cfg_max_cut)),$S12),MROUND($R12,$S12)))-$F12)&gt;0,IF(AND(N($Y12)&gt;=$F12,N($Y12)&gt;=CEILING($F12*(1+MAX($O12,cfg_max_cut)),$S12),N($Y12)&lt;=FLOOR($F12*(1+MIN($N12,cfg_max_raise)),$S12)),N($Y12),IF(AND(N($Z12)&gt;$F12,N($Z12)&gt;=CEILING($F12*(1+MAX($O12,cfg_max_cut)),$S12),N($Z12)&lt;=FLOOR($F12*(1+MIN($N12,cfg_max_raise)),$S12)),N($Z12),MIN(FLOOR($F12*(1+MIN($N12,cfg_max_raise)),$S12),MAX(CEILING($F12*(1+MAX($O12,cfg_max_cut)),$S12),MROUND($R12,$S12))))),IF(SIGN(MIN(FLOOR($F12*(1+MIN($N12,cfg_max_raise)),$S12),MAX(CEILING($F12*(1+MAX($O12,cfg_max_cut)),$S12),MROUND($R12,$S12)))-$F12)&lt;0,IF(AND(N($Z12)&lt;=$F12,N($Z12)&gt;=CEILING($F12*(1+MAX($O12,cfg_max_cut)),$S12),N($Z12)&lt;=FLOOR($F12*(1+MIN($N12,cfg_max_raise)),$S12)),N($Z12),IF(AND(N($Y12)&lt;$F12,N($Y12)&gt;=CEILING($F12*(1+MAX($O12,cfg_max_cut)),$S12),N($Y12)&lt;=FLOOR($F12*(1+MIN($N12,cfg_max_raise)),$S12)),N($Y12),MIN(FLOOR($F12*(1+MIN($N12,cfg_max_raise)),$S12),MAX(CEILING($F12*(1+MAX($O12,cfg_max_cut)),$S12),MROUND($R12,$S12))))),IF(ABS(N($Y12)-$F12)&lt;=ABS(N($Z12)-$F12),IF(AND(N($Y12)&gt;=CEILING($F12*(1+MAX($O12,cfg_max_cut)),$S12),N($Y12)&lt;=FLOOR($F12*(1+MIN($N12,cfg_max_raise)),$S12)),N($Y12),MIN(FLOOR($F12*(1+MIN($N12,cfg_max_raise)),$S12),MAX(CEILING($F12*(1+MAX($O12,cfg_max_cut)),$S12),MROUND($R12,$S12)))),IF(AND(N($Z12)&gt;=CEILING($F12*(1+MAX($O12,cfg_max_cut)),$S12),N($Z12)&lt;=FLOOR($F12*(1+MIN($N12,cfg_max_raise)),$S12)),N($Z12),MIN(FLOOR($F12*(1+MIN($N12,cfg_max_raise)),$S12),MAX(CEILING($F12*(1+MAX($O12,cfg_max_cut)),$S12),MROUND($R12,$S12)))))))))</f>
        <v/>
      </c>
      <c r="U12" s="73" t="str">
        <f aca="false">IF($B12="","",IFERROR($T12/$F12-1,0))</f>
        <v/>
      </c>
      <c r="V12" s="68" t="str">
        <f aca="false">IF($B12="","",$G12*($T12/$F12)^$H12)</f>
        <v/>
      </c>
      <c r="W12" s="75" t="str">
        <f aca="false">IF($B12="","",($T12-$E12)*$V12-($F12-$E12)*$G12)</f>
        <v/>
      </c>
      <c r="X12" s="75" t="str">
        <f aca="false">IF($B12="","",$W12*30)</f>
        <v/>
      </c>
      <c r="Y12" s="28" t="str">
        <f aca="false">IF($B12="","",IF(AND(cfg_round_to&lt;=0.5,IFERROR(VALUE(cfg_ending),0)&gt;0),CEILING($R12-VALUE(cfg_ending),1)+VALUE(cfg_ending),""))</f>
        <v/>
      </c>
      <c r="Z12" s="28" t="str">
        <f aca="false">IF($B12="","",IF(AND(cfg_round_to&lt;=0.5,IFERROR(VALUE(cfg_ending),0)&gt;0),FLOOR($R12-VALUE(cfg_ending),1)+VALUE(cfg_ending),""))</f>
        <v/>
      </c>
      <c r="AA12" s="28" t="str">
        <f aca="false">IF($B12="","",IF(AND(cfg_round_to&lt;=0.5,IFERROR(VALUE(cfg_ending),0)&gt;0),VALUE(cfg_ending),0))</f>
        <v/>
      </c>
    </row>
    <row r="13" customFormat="false" ht="15" hidden="false" customHeight="true" outlineLevel="0" collapsed="false">
      <c r="A13" s="15" t="n">
        <v>8</v>
      </c>
      <c r="B13" s="41" t="str">
        <f aca="false">IF(OWNER_INPUTS!B13="","",OWNER_INPUTS!B13)</f>
        <v/>
      </c>
      <c r="C13" s="41" t="str">
        <f aca="false">IF($B13="","",OWNER_INPUTS!C13)</f>
        <v/>
      </c>
      <c r="D13" s="41" t="str">
        <f aca="false">IF($B13="","",OWNER_INPUTS!D13)</f>
        <v/>
      </c>
      <c r="E13" s="42" t="str">
        <f aca="false">IF($B13="","",OWNER_INPUTS!E13)</f>
        <v/>
      </c>
      <c r="F13" s="42" t="str">
        <f aca="false">IF($B13="","",OWNER_INPUTS!F13)</f>
        <v/>
      </c>
      <c r="G13" s="68" t="str">
        <f aca="false">IF($B13="","",OWNER_INPUTS!G13/30)</f>
        <v/>
      </c>
      <c r="H13" s="67" t="str">
        <f aca="false">IF($B13="","",IFERROR(  IF(ISNUMBER(INDEX(cal_estimate,MATCH($B13,cal_items,0))),    INDEX(cal_estimate,MATCH($B13,cal_items,0)),    IFERROR(VLOOKUP($C13,tbl_priors,2,FALSE()),      VLOOKUP("Other",tbl_priors,2,FALSE()))),  IFERROR(VLOOKUP($C13,tbl_priors,2,FALSE()),    VLOOKUP("Other",tbl_priors,2,FALSE()))))</f>
        <v/>
      </c>
      <c r="I13" s="45" t="str">
        <f aca="false">IF($B13="","",IF(IFERROR(ISNUMBER(INDEX(cal_estimate,MATCH($B13,cal_items,0))),FALSE()),"Estimated","Prior"))</f>
        <v/>
      </c>
      <c r="J13" s="45" t="str">
        <f aca="false">IF($B13="","",IF($I13="Estimated",  IFERROR(INDEX(cal_conf,MATCH($B13,cal_items,0)),"LOW"),"LOW"))</f>
        <v/>
      </c>
      <c r="K13" s="67" t="str">
        <f aca="false">IF($B13="","",IF($H13&lt;-1,$E13*$H13/($H13+1),"test"))</f>
        <v/>
      </c>
      <c r="L13" s="73" t="str">
        <f aca="false">IF($B13="","",IF($J13="HIGH",cfg_shr_high,IF($J13="MEDIUM",cfg_shr_med,cfg_shr_low)))</f>
        <v/>
      </c>
      <c r="M13" s="67" t="str">
        <f aca="false">IF($B13="","",IF($K13="test",  $F13*(1+IFERROR(VLOOKUP($D13,tbl_roles,4,FALSE()),    VLOOKUP("Other",tbl_roles,4,FALSE()))),  $F13+$L13*($K13-$F13)))</f>
        <v/>
      </c>
      <c r="N13" s="73" t="str">
        <f aca="false">IF($B13="","",IFERROR(VLOOKUP($D13,tbl_roles,2,FALSE()),VLOOKUP("Other",tbl_roles,2,FALSE())))</f>
        <v/>
      </c>
      <c r="O13" s="73" t="str">
        <f aca="false">IF($B13="","",IFERROR(VLOOKUP($D13,tbl_roles,3,FALSE()),VLOOKUP("Other",tbl_roles,3,FALSE())))</f>
        <v/>
      </c>
      <c r="P13" s="67" t="str">
        <f aca="false">IF($B13="","",MIN($F13*(1+$N13),MAX($F13*(1+$O13),$M13)))</f>
        <v/>
      </c>
      <c r="Q13" s="67" t="str">
        <f aca="false">IF($B13="","",MIN($F13*(1+cfg_max_raise),MAX($F13*(1+cfg_max_cut),$P13)))</f>
        <v/>
      </c>
      <c r="R13" s="67" t="str">
        <f aca="false">IF($B13="","",IF(cfg_currency="IDR",IF($B13="","",IFERROR(IF(AND($Q13&gt;INDEX(tbl_thr_idr,MATCH($Q13,INDEX(tbl_thr_idr,0,1),1),1),$Q13&lt;=INDEX(tbl_thr_idr,MATCH($Q13,INDEX(tbl_thr_idr,0,1),1),1)+INDEX(tbl_thr_idr,MATCH($Q13,INDEX(tbl_thr_idr,0,1),1),2)),FLOOR(INDEX(tbl_thr_idr,MATCH($Q13,INDEX(tbl_thr_idr,0,1),1),1)-1,cfg_round_to),$Q13),$Q13)),IF($B13="","",IFERROR(IF(AND($Q13&gt;INDEX(tbl_thr_usd,MATCH($Q13,INDEX(tbl_thr_usd,0,1),1),1),$Q13&lt;=INDEX(tbl_thr_usd,MATCH($Q13,INDEX(tbl_thr_usd,0,1),1),1)+INDEX(tbl_thr_usd,MATCH($Q13,INDEX(tbl_thr_usd,0,1),1),2)),FLOOR(INDEX(tbl_thr_usd,MATCH($Q13,INDEX(tbl_thr_usd,0,1),1),1)-0.01,cfg_round_to),$Q13),$Q13))))</f>
        <v/>
      </c>
      <c r="S13" s="67" t="str">
        <f aca="false">IF($B13="","",cfg_round_to)</f>
        <v/>
      </c>
      <c r="T13" s="74" t="str">
        <f aca="false">IF($B13="","",IF(N($AA13)=0,MIN(FLOOR($F13*(1+MIN($N13,cfg_max_raise)),$S13),MAX(CEILING($F13*(1+MAX($O13,cfg_max_cut)),$S13),MROUND($R13,$S13))),IF(SIGN(MIN(FLOOR($F13*(1+MIN($N13,cfg_max_raise)),$S13),MAX(CEILING($F13*(1+MAX($O13,cfg_max_cut)),$S13),MROUND($R13,$S13)))-$F13)&gt;0,IF(AND(N($Y13)&gt;=$F13,N($Y13)&gt;=CEILING($F13*(1+MAX($O13,cfg_max_cut)),$S13),N($Y13)&lt;=FLOOR($F13*(1+MIN($N13,cfg_max_raise)),$S13)),N($Y13),IF(AND(N($Z13)&gt;$F13,N($Z13)&gt;=CEILING($F13*(1+MAX($O13,cfg_max_cut)),$S13),N($Z13)&lt;=FLOOR($F13*(1+MIN($N13,cfg_max_raise)),$S13)),N($Z13),MIN(FLOOR($F13*(1+MIN($N13,cfg_max_raise)),$S13),MAX(CEILING($F13*(1+MAX($O13,cfg_max_cut)),$S13),MROUND($R13,$S13))))),IF(SIGN(MIN(FLOOR($F13*(1+MIN($N13,cfg_max_raise)),$S13),MAX(CEILING($F13*(1+MAX($O13,cfg_max_cut)),$S13),MROUND($R13,$S13)))-$F13)&lt;0,IF(AND(N($Z13)&lt;=$F13,N($Z13)&gt;=CEILING($F13*(1+MAX($O13,cfg_max_cut)),$S13),N($Z13)&lt;=FLOOR($F13*(1+MIN($N13,cfg_max_raise)),$S13)),N($Z13),IF(AND(N($Y13)&lt;$F13,N($Y13)&gt;=CEILING($F13*(1+MAX($O13,cfg_max_cut)),$S13),N($Y13)&lt;=FLOOR($F13*(1+MIN($N13,cfg_max_raise)),$S13)),N($Y13),MIN(FLOOR($F13*(1+MIN($N13,cfg_max_raise)),$S13),MAX(CEILING($F13*(1+MAX($O13,cfg_max_cut)),$S13),MROUND($R13,$S13))))),IF(ABS(N($Y13)-$F13)&lt;=ABS(N($Z13)-$F13),IF(AND(N($Y13)&gt;=CEILING($F13*(1+MAX($O13,cfg_max_cut)),$S13),N($Y13)&lt;=FLOOR($F13*(1+MIN($N13,cfg_max_raise)),$S13)),N($Y13),MIN(FLOOR($F13*(1+MIN($N13,cfg_max_raise)),$S13),MAX(CEILING($F13*(1+MAX($O13,cfg_max_cut)),$S13),MROUND($R13,$S13)))),IF(AND(N($Z13)&gt;=CEILING($F13*(1+MAX($O13,cfg_max_cut)),$S13),N($Z13)&lt;=FLOOR($F13*(1+MIN($N13,cfg_max_raise)),$S13)),N($Z13),MIN(FLOOR($F13*(1+MIN($N13,cfg_max_raise)),$S13),MAX(CEILING($F13*(1+MAX($O13,cfg_max_cut)),$S13),MROUND($R13,$S13)))))))))</f>
        <v/>
      </c>
      <c r="U13" s="73" t="str">
        <f aca="false">IF($B13="","",IFERROR($T13/$F13-1,0))</f>
        <v/>
      </c>
      <c r="V13" s="68" t="str">
        <f aca="false">IF($B13="","",$G13*($T13/$F13)^$H13)</f>
        <v/>
      </c>
      <c r="W13" s="75" t="str">
        <f aca="false">IF($B13="","",($T13-$E13)*$V13-($F13-$E13)*$G13)</f>
        <v/>
      </c>
      <c r="X13" s="75" t="str">
        <f aca="false">IF($B13="","",$W13*30)</f>
        <v/>
      </c>
      <c r="Y13" s="28" t="str">
        <f aca="false">IF($B13="","",IF(AND(cfg_round_to&lt;=0.5,IFERROR(VALUE(cfg_ending),0)&gt;0),CEILING($R13-VALUE(cfg_ending),1)+VALUE(cfg_ending),""))</f>
        <v/>
      </c>
      <c r="Z13" s="28" t="str">
        <f aca="false">IF($B13="","",IF(AND(cfg_round_to&lt;=0.5,IFERROR(VALUE(cfg_ending),0)&gt;0),FLOOR($R13-VALUE(cfg_ending),1)+VALUE(cfg_ending),""))</f>
        <v/>
      </c>
      <c r="AA13" s="28" t="str">
        <f aca="false">IF($B13="","",IF(AND(cfg_round_to&lt;=0.5,IFERROR(VALUE(cfg_ending),0)&gt;0),VALUE(cfg_ending),0))</f>
        <v/>
      </c>
    </row>
    <row r="14" customFormat="false" ht="15" hidden="false" customHeight="true" outlineLevel="0" collapsed="false">
      <c r="A14" s="15" t="n">
        <v>9</v>
      </c>
      <c r="B14" s="41" t="str">
        <f aca="false">IF(OWNER_INPUTS!B14="","",OWNER_INPUTS!B14)</f>
        <v/>
      </c>
      <c r="C14" s="41" t="str">
        <f aca="false">IF($B14="","",OWNER_INPUTS!C14)</f>
        <v/>
      </c>
      <c r="D14" s="41" t="str">
        <f aca="false">IF($B14="","",OWNER_INPUTS!D14)</f>
        <v/>
      </c>
      <c r="E14" s="42" t="str">
        <f aca="false">IF($B14="","",OWNER_INPUTS!E14)</f>
        <v/>
      </c>
      <c r="F14" s="42" t="str">
        <f aca="false">IF($B14="","",OWNER_INPUTS!F14)</f>
        <v/>
      </c>
      <c r="G14" s="68" t="str">
        <f aca="false">IF($B14="","",OWNER_INPUTS!G14/30)</f>
        <v/>
      </c>
      <c r="H14" s="67" t="str">
        <f aca="false">IF($B14="","",IFERROR(  IF(ISNUMBER(INDEX(cal_estimate,MATCH($B14,cal_items,0))),    INDEX(cal_estimate,MATCH($B14,cal_items,0)),    IFERROR(VLOOKUP($C14,tbl_priors,2,FALSE()),      VLOOKUP("Other",tbl_priors,2,FALSE()))),  IFERROR(VLOOKUP($C14,tbl_priors,2,FALSE()),    VLOOKUP("Other",tbl_priors,2,FALSE()))))</f>
        <v/>
      </c>
      <c r="I14" s="45" t="str">
        <f aca="false">IF($B14="","",IF(IFERROR(ISNUMBER(INDEX(cal_estimate,MATCH($B14,cal_items,0))),FALSE()),"Estimated","Prior"))</f>
        <v/>
      </c>
      <c r="J14" s="45" t="str">
        <f aca="false">IF($B14="","",IF($I14="Estimated",  IFERROR(INDEX(cal_conf,MATCH($B14,cal_items,0)),"LOW"),"LOW"))</f>
        <v/>
      </c>
      <c r="K14" s="67" t="str">
        <f aca="false">IF($B14="","",IF($H14&lt;-1,$E14*$H14/($H14+1),"test"))</f>
        <v/>
      </c>
      <c r="L14" s="73" t="str">
        <f aca="false">IF($B14="","",IF($J14="HIGH",cfg_shr_high,IF($J14="MEDIUM",cfg_shr_med,cfg_shr_low)))</f>
        <v/>
      </c>
      <c r="M14" s="67" t="str">
        <f aca="false">IF($B14="","",IF($K14="test",  $F14*(1+IFERROR(VLOOKUP($D14,tbl_roles,4,FALSE()),    VLOOKUP("Other",tbl_roles,4,FALSE()))),  $F14+$L14*($K14-$F14)))</f>
        <v/>
      </c>
      <c r="N14" s="73" t="str">
        <f aca="false">IF($B14="","",IFERROR(VLOOKUP($D14,tbl_roles,2,FALSE()),VLOOKUP("Other",tbl_roles,2,FALSE())))</f>
        <v/>
      </c>
      <c r="O14" s="73" t="str">
        <f aca="false">IF($B14="","",IFERROR(VLOOKUP($D14,tbl_roles,3,FALSE()),VLOOKUP("Other",tbl_roles,3,FALSE())))</f>
        <v/>
      </c>
      <c r="P14" s="67" t="str">
        <f aca="false">IF($B14="","",MIN($F14*(1+$N14),MAX($F14*(1+$O14),$M14)))</f>
        <v/>
      </c>
      <c r="Q14" s="67" t="str">
        <f aca="false">IF($B14="","",MIN($F14*(1+cfg_max_raise),MAX($F14*(1+cfg_max_cut),$P14)))</f>
        <v/>
      </c>
      <c r="R14" s="67" t="str">
        <f aca="false">IF($B14="","",IF(cfg_currency="IDR",IF($B14="","",IFERROR(IF(AND($Q14&gt;INDEX(tbl_thr_idr,MATCH($Q14,INDEX(tbl_thr_idr,0,1),1),1),$Q14&lt;=INDEX(tbl_thr_idr,MATCH($Q14,INDEX(tbl_thr_idr,0,1),1),1)+INDEX(tbl_thr_idr,MATCH($Q14,INDEX(tbl_thr_idr,0,1),1),2)),FLOOR(INDEX(tbl_thr_idr,MATCH($Q14,INDEX(tbl_thr_idr,0,1),1),1)-1,cfg_round_to),$Q14),$Q14)),IF($B14="","",IFERROR(IF(AND($Q14&gt;INDEX(tbl_thr_usd,MATCH($Q14,INDEX(tbl_thr_usd,0,1),1),1),$Q14&lt;=INDEX(tbl_thr_usd,MATCH($Q14,INDEX(tbl_thr_usd,0,1),1),1)+INDEX(tbl_thr_usd,MATCH($Q14,INDEX(tbl_thr_usd,0,1),1),2)),FLOOR(INDEX(tbl_thr_usd,MATCH($Q14,INDEX(tbl_thr_usd,0,1),1),1)-0.01,cfg_round_to),$Q14),$Q14))))</f>
        <v/>
      </c>
      <c r="S14" s="67" t="str">
        <f aca="false">IF($B14="","",cfg_round_to)</f>
        <v/>
      </c>
      <c r="T14" s="74" t="str">
        <f aca="false">IF($B14="","",IF(N($AA14)=0,MIN(FLOOR($F14*(1+MIN($N14,cfg_max_raise)),$S14),MAX(CEILING($F14*(1+MAX($O14,cfg_max_cut)),$S14),MROUND($R14,$S14))),IF(SIGN(MIN(FLOOR($F14*(1+MIN($N14,cfg_max_raise)),$S14),MAX(CEILING($F14*(1+MAX($O14,cfg_max_cut)),$S14),MROUND($R14,$S14)))-$F14)&gt;0,IF(AND(N($Y14)&gt;=$F14,N($Y14)&gt;=CEILING($F14*(1+MAX($O14,cfg_max_cut)),$S14),N($Y14)&lt;=FLOOR($F14*(1+MIN($N14,cfg_max_raise)),$S14)),N($Y14),IF(AND(N($Z14)&gt;$F14,N($Z14)&gt;=CEILING($F14*(1+MAX($O14,cfg_max_cut)),$S14),N($Z14)&lt;=FLOOR($F14*(1+MIN($N14,cfg_max_raise)),$S14)),N($Z14),MIN(FLOOR($F14*(1+MIN($N14,cfg_max_raise)),$S14),MAX(CEILING($F14*(1+MAX($O14,cfg_max_cut)),$S14),MROUND($R14,$S14))))),IF(SIGN(MIN(FLOOR($F14*(1+MIN($N14,cfg_max_raise)),$S14),MAX(CEILING($F14*(1+MAX($O14,cfg_max_cut)),$S14),MROUND($R14,$S14)))-$F14)&lt;0,IF(AND(N($Z14)&lt;=$F14,N($Z14)&gt;=CEILING($F14*(1+MAX($O14,cfg_max_cut)),$S14),N($Z14)&lt;=FLOOR($F14*(1+MIN($N14,cfg_max_raise)),$S14)),N($Z14),IF(AND(N($Y14)&lt;$F14,N($Y14)&gt;=CEILING($F14*(1+MAX($O14,cfg_max_cut)),$S14),N($Y14)&lt;=FLOOR($F14*(1+MIN($N14,cfg_max_raise)),$S14)),N($Y14),MIN(FLOOR($F14*(1+MIN($N14,cfg_max_raise)),$S14),MAX(CEILING($F14*(1+MAX($O14,cfg_max_cut)),$S14),MROUND($R14,$S14))))),IF(ABS(N($Y14)-$F14)&lt;=ABS(N($Z14)-$F14),IF(AND(N($Y14)&gt;=CEILING($F14*(1+MAX($O14,cfg_max_cut)),$S14),N($Y14)&lt;=FLOOR($F14*(1+MIN($N14,cfg_max_raise)),$S14)),N($Y14),MIN(FLOOR($F14*(1+MIN($N14,cfg_max_raise)),$S14),MAX(CEILING($F14*(1+MAX($O14,cfg_max_cut)),$S14),MROUND($R14,$S14)))),IF(AND(N($Z14)&gt;=CEILING($F14*(1+MAX($O14,cfg_max_cut)),$S14),N($Z14)&lt;=FLOOR($F14*(1+MIN($N14,cfg_max_raise)),$S14)),N($Z14),MIN(FLOOR($F14*(1+MIN($N14,cfg_max_raise)),$S14),MAX(CEILING($F14*(1+MAX($O14,cfg_max_cut)),$S14),MROUND($R14,$S14)))))))))</f>
        <v/>
      </c>
      <c r="U14" s="73" t="str">
        <f aca="false">IF($B14="","",IFERROR($T14/$F14-1,0))</f>
        <v/>
      </c>
      <c r="V14" s="68" t="str">
        <f aca="false">IF($B14="","",$G14*($T14/$F14)^$H14)</f>
        <v/>
      </c>
      <c r="W14" s="75" t="str">
        <f aca="false">IF($B14="","",($T14-$E14)*$V14-($F14-$E14)*$G14)</f>
        <v/>
      </c>
      <c r="X14" s="75" t="str">
        <f aca="false">IF($B14="","",$W14*30)</f>
        <v/>
      </c>
      <c r="Y14" s="28" t="str">
        <f aca="false">IF($B14="","",IF(AND(cfg_round_to&lt;=0.5,IFERROR(VALUE(cfg_ending),0)&gt;0),CEILING($R14-VALUE(cfg_ending),1)+VALUE(cfg_ending),""))</f>
        <v/>
      </c>
      <c r="Z14" s="28" t="str">
        <f aca="false">IF($B14="","",IF(AND(cfg_round_to&lt;=0.5,IFERROR(VALUE(cfg_ending),0)&gt;0),FLOOR($R14-VALUE(cfg_ending),1)+VALUE(cfg_ending),""))</f>
        <v/>
      </c>
      <c r="AA14" s="28" t="str">
        <f aca="false">IF($B14="","",IF(AND(cfg_round_to&lt;=0.5,IFERROR(VALUE(cfg_ending),0)&gt;0),VALUE(cfg_ending),0))</f>
        <v/>
      </c>
    </row>
    <row r="15" customFormat="false" ht="15" hidden="false" customHeight="true" outlineLevel="0" collapsed="false">
      <c r="A15" s="15" t="n">
        <v>10</v>
      </c>
      <c r="B15" s="41" t="str">
        <f aca="false">IF(OWNER_INPUTS!B15="","",OWNER_INPUTS!B15)</f>
        <v/>
      </c>
      <c r="C15" s="41" t="str">
        <f aca="false">IF($B15="","",OWNER_INPUTS!C15)</f>
        <v/>
      </c>
      <c r="D15" s="41" t="str">
        <f aca="false">IF($B15="","",OWNER_INPUTS!D15)</f>
        <v/>
      </c>
      <c r="E15" s="42" t="str">
        <f aca="false">IF($B15="","",OWNER_INPUTS!E15)</f>
        <v/>
      </c>
      <c r="F15" s="42" t="str">
        <f aca="false">IF($B15="","",OWNER_INPUTS!F15)</f>
        <v/>
      </c>
      <c r="G15" s="68" t="str">
        <f aca="false">IF($B15="","",OWNER_INPUTS!G15/30)</f>
        <v/>
      </c>
      <c r="H15" s="67" t="str">
        <f aca="false">IF($B15="","",IFERROR(  IF(ISNUMBER(INDEX(cal_estimate,MATCH($B15,cal_items,0))),    INDEX(cal_estimate,MATCH($B15,cal_items,0)),    IFERROR(VLOOKUP($C15,tbl_priors,2,FALSE()),      VLOOKUP("Other",tbl_priors,2,FALSE()))),  IFERROR(VLOOKUP($C15,tbl_priors,2,FALSE()),    VLOOKUP("Other",tbl_priors,2,FALSE()))))</f>
        <v/>
      </c>
      <c r="I15" s="45" t="str">
        <f aca="false">IF($B15="","",IF(IFERROR(ISNUMBER(INDEX(cal_estimate,MATCH($B15,cal_items,0))),FALSE()),"Estimated","Prior"))</f>
        <v/>
      </c>
      <c r="J15" s="45" t="str">
        <f aca="false">IF($B15="","",IF($I15="Estimated",  IFERROR(INDEX(cal_conf,MATCH($B15,cal_items,0)),"LOW"),"LOW"))</f>
        <v/>
      </c>
      <c r="K15" s="67" t="str">
        <f aca="false">IF($B15="","",IF($H15&lt;-1,$E15*$H15/($H15+1),"test"))</f>
        <v/>
      </c>
      <c r="L15" s="73" t="str">
        <f aca="false">IF($B15="","",IF($J15="HIGH",cfg_shr_high,IF($J15="MEDIUM",cfg_shr_med,cfg_shr_low)))</f>
        <v/>
      </c>
      <c r="M15" s="67" t="str">
        <f aca="false">IF($B15="","",IF($K15="test",  $F15*(1+IFERROR(VLOOKUP($D15,tbl_roles,4,FALSE()),    VLOOKUP("Other",tbl_roles,4,FALSE()))),  $F15+$L15*($K15-$F15)))</f>
        <v/>
      </c>
      <c r="N15" s="73" t="str">
        <f aca="false">IF($B15="","",IFERROR(VLOOKUP($D15,tbl_roles,2,FALSE()),VLOOKUP("Other",tbl_roles,2,FALSE())))</f>
        <v/>
      </c>
      <c r="O15" s="73" t="str">
        <f aca="false">IF($B15="","",IFERROR(VLOOKUP($D15,tbl_roles,3,FALSE()),VLOOKUP("Other",tbl_roles,3,FALSE())))</f>
        <v/>
      </c>
      <c r="P15" s="67" t="str">
        <f aca="false">IF($B15="","",MIN($F15*(1+$N15),MAX($F15*(1+$O15),$M15)))</f>
        <v/>
      </c>
      <c r="Q15" s="67" t="str">
        <f aca="false">IF($B15="","",MIN($F15*(1+cfg_max_raise),MAX($F15*(1+cfg_max_cut),$P15)))</f>
        <v/>
      </c>
      <c r="R15" s="67" t="str">
        <f aca="false">IF($B15="","",IF(cfg_currency="IDR",IF($B15="","",IFERROR(IF(AND($Q15&gt;INDEX(tbl_thr_idr,MATCH($Q15,INDEX(tbl_thr_idr,0,1),1),1),$Q15&lt;=INDEX(tbl_thr_idr,MATCH($Q15,INDEX(tbl_thr_idr,0,1),1),1)+INDEX(tbl_thr_idr,MATCH($Q15,INDEX(tbl_thr_idr,0,1),1),2)),FLOOR(INDEX(tbl_thr_idr,MATCH($Q15,INDEX(tbl_thr_idr,0,1),1),1)-1,cfg_round_to),$Q15),$Q15)),IF($B15="","",IFERROR(IF(AND($Q15&gt;INDEX(tbl_thr_usd,MATCH($Q15,INDEX(tbl_thr_usd,0,1),1),1),$Q15&lt;=INDEX(tbl_thr_usd,MATCH($Q15,INDEX(tbl_thr_usd,0,1),1),1)+INDEX(tbl_thr_usd,MATCH($Q15,INDEX(tbl_thr_usd,0,1),1),2)),FLOOR(INDEX(tbl_thr_usd,MATCH($Q15,INDEX(tbl_thr_usd,0,1),1),1)-0.01,cfg_round_to),$Q15),$Q15))))</f>
        <v/>
      </c>
      <c r="S15" s="67" t="str">
        <f aca="false">IF($B15="","",cfg_round_to)</f>
        <v/>
      </c>
      <c r="T15" s="74" t="str">
        <f aca="false">IF($B15="","",IF(N($AA15)=0,MIN(FLOOR($F15*(1+MIN($N15,cfg_max_raise)),$S15),MAX(CEILING($F15*(1+MAX($O15,cfg_max_cut)),$S15),MROUND($R15,$S15))),IF(SIGN(MIN(FLOOR($F15*(1+MIN($N15,cfg_max_raise)),$S15),MAX(CEILING($F15*(1+MAX($O15,cfg_max_cut)),$S15),MROUND($R15,$S15)))-$F15)&gt;0,IF(AND(N($Y15)&gt;=$F15,N($Y15)&gt;=CEILING($F15*(1+MAX($O15,cfg_max_cut)),$S15),N($Y15)&lt;=FLOOR($F15*(1+MIN($N15,cfg_max_raise)),$S15)),N($Y15),IF(AND(N($Z15)&gt;$F15,N($Z15)&gt;=CEILING($F15*(1+MAX($O15,cfg_max_cut)),$S15),N($Z15)&lt;=FLOOR($F15*(1+MIN($N15,cfg_max_raise)),$S15)),N($Z15),MIN(FLOOR($F15*(1+MIN($N15,cfg_max_raise)),$S15),MAX(CEILING($F15*(1+MAX($O15,cfg_max_cut)),$S15),MROUND($R15,$S15))))),IF(SIGN(MIN(FLOOR($F15*(1+MIN($N15,cfg_max_raise)),$S15),MAX(CEILING($F15*(1+MAX($O15,cfg_max_cut)),$S15),MROUND($R15,$S15)))-$F15)&lt;0,IF(AND(N($Z15)&lt;=$F15,N($Z15)&gt;=CEILING($F15*(1+MAX($O15,cfg_max_cut)),$S15),N($Z15)&lt;=FLOOR($F15*(1+MIN($N15,cfg_max_raise)),$S15)),N($Z15),IF(AND(N($Y15)&lt;$F15,N($Y15)&gt;=CEILING($F15*(1+MAX($O15,cfg_max_cut)),$S15),N($Y15)&lt;=FLOOR($F15*(1+MIN($N15,cfg_max_raise)),$S15)),N($Y15),MIN(FLOOR($F15*(1+MIN($N15,cfg_max_raise)),$S15),MAX(CEILING($F15*(1+MAX($O15,cfg_max_cut)),$S15),MROUND($R15,$S15))))),IF(ABS(N($Y15)-$F15)&lt;=ABS(N($Z15)-$F15),IF(AND(N($Y15)&gt;=CEILING($F15*(1+MAX($O15,cfg_max_cut)),$S15),N($Y15)&lt;=FLOOR($F15*(1+MIN($N15,cfg_max_raise)),$S15)),N($Y15),MIN(FLOOR($F15*(1+MIN($N15,cfg_max_raise)),$S15),MAX(CEILING($F15*(1+MAX($O15,cfg_max_cut)),$S15),MROUND($R15,$S15)))),IF(AND(N($Z15)&gt;=CEILING($F15*(1+MAX($O15,cfg_max_cut)),$S15),N($Z15)&lt;=FLOOR($F15*(1+MIN($N15,cfg_max_raise)),$S15)),N($Z15),MIN(FLOOR($F15*(1+MIN($N15,cfg_max_raise)),$S15),MAX(CEILING($F15*(1+MAX($O15,cfg_max_cut)),$S15),MROUND($R15,$S15)))))))))</f>
        <v/>
      </c>
      <c r="U15" s="73" t="str">
        <f aca="false">IF($B15="","",IFERROR($T15/$F15-1,0))</f>
        <v/>
      </c>
      <c r="V15" s="68" t="str">
        <f aca="false">IF($B15="","",$G15*($T15/$F15)^$H15)</f>
        <v/>
      </c>
      <c r="W15" s="75" t="str">
        <f aca="false">IF($B15="","",($T15-$E15)*$V15-($F15-$E15)*$G15)</f>
        <v/>
      </c>
      <c r="X15" s="75" t="str">
        <f aca="false">IF($B15="","",$W15*30)</f>
        <v/>
      </c>
      <c r="Y15" s="28" t="str">
        <f aca="false">IF($B15="","",IF(AND(cfg_round_to&lt;=0.5,IFERROR(VALUE(cfg_ending),0)&gt;0),CEILING($R15-VALUE(cfg_ending),1)+VALUE(cfg_ending),""))</f>
        <v/>
      </c>
      <c r="Z15" s="28" t="str">
        <f aca="false">IF($B15="","",IF(AND(cfg_round_to&lt;=0.5,IFERROR(VALUE(cfg_ending),0)&gt;0),FLOOR($R15-VALUE(cfg_ending),1)+VALUE(cfg_ending),""))</f>
        <v/>
      </c>
      <c r="AA15" s="28" t="str">
        <f aca="false">IF($B15="","",IF(AND(cfg_round_to&lt;=0.5,IFERROR(VALUE(cfg_ending),0)&gt;0),VALUE(cfg_ending),0))</f>
        <v/>
      </c>
    </row>
    <row r="16" customFormat="false" ht="15" hidden="false" customHeight="true" outlineLevel="0" collapsed="false">
      <c r="A16" s="15" t="n">
        <v>11</v>
      </c>
      <c r="B16" s="41" t="str">
        <f aca="false">IF(OWNER_INPUTS!B16="","",OWNER_INPUTS!B16)</f>
        <v/>
      </c>
      <c r="C16" s="41" t="str">
        <f aca="false">IF($B16="","",OWNER_INPUTS!C16)</f>
        <v/>
      </c>
      <c r="D16" s="41" t="str">
        <f aca="false">IF($B16="","",OWNER_INPUTS!D16)</f>
        <v/>
      </c>
      <c r="E16" s="42" t="str">
        <f aca="false">IF($B16="","",OWNER_INPUTS!E16)</f>
        <v/>
      </c>
      <c r="F16" s="42" t="str">
        <f aca="false">IF($B16="","",OWNER_INPUTS!F16)</f>
        <v/>
      </c>
      <c r="G16" s="68" t="str">
        <f aca="false">IF($B16="","",OWNER_INPUTS!G16/30)</f>
        <v/>
      </c>
      <c r="H16" s="67" t="str">
        <f aca="false">IF($B16="","",IFERROR(  IF(ISNUMBER(INDEX(cal_estimate,MATCH($B16,cal_items,0))),    INDEX(cal_estimate,MATCH($B16,cal_items,0)),    IFERROR(VLOOKUP($C16,tbl_priors,2,FALSE()),      VLOOKUP("Other",tbl_priors,2,FALSE()))),  IFERROR(VLOOKUP($C16,tbl_priors,2,FALSE()),    VLOOKUP("Other",tbl_priors,2,FALSE()))))</f>
        <v/>
      </c>
      <c r="I16" s="45" t="str">
        <f aca="false">IF($B16="","",IF(IFERROR(ISNUMBER(INDEX(cal_estimate,MATCH($B16,cal_items,0))),FALSE()),"Estimated","Prior"))</f>
        <v/>
      </c>
      <c r="J16" s="45" t="str">
        <f aca="false">IF($B16="","",IF($I16="Estimated",  IFERROR(INDEX(cal_conf,MATCH($B16,cal_items,0)),"LOW"),"LOW"))</f>
        <v/>
      </c>
      <c r="K16" s="67" t="str">
        <f aca="false">IF($B16="","",IF($H16&lt;-1,$E16*$H16/($H16+1),"test"))</f>
        <v/>
      </c>
      <c r="L16" s="73" t="str">
        <f aca="false">IF($B16="","",IF($J16="HIGH",cfg_shr_high,IF($J16="MEDIUM",cfg_shr_med,cfg_shr_low)))</f>
        <v/>
      </c>
      <c r="M16" s="67" t="str">
        <f aca="false">IF($B16="","",IF($K16="test",  $F16*(1+IFERROR(VLOOKUP($D16,tbl_roles,4,FALSE()),    VLOOKUP("Other",tbl_roles,4,FALSE()))),  $F16+$L16*($K16-$F16)))</f>
        <v/>
      </c>
      <c r="N16" s="73" t="str">
        <f aca="false">IF($B16="","",IFERROR(VLOOKUP($D16,tbl_roles,2,FALSE()),VLOOKUP("Other",tbl_roles,2,FALSE())))</f>
        <v/>
      </c>
      <c r="O16" s="73" t="str">
        <f aca="false">IF($B16="","",IFERROR(VLOOKUP($D16,tbl_roles,3,FALSE()),VLOOKUP("Other",tbl_roles,3,FALSE())))</f>
        <v/>
      </c>
      <c r="P16" s="67" t="str">
        <f aca="false">IF($B16="","",MIN($F16*(1+$N16),MAX($F16*(1+$O16),$M16)))</f>
        <v/>
      </c>
      <c r="Q16" s="67" t="str">
        <f aca="false">IF($B16="","",MIN($F16*(1+cfg_max_raise),MAX($F16*(1+cfg_max_cut),$P16)))</f>
        <v/>
      </c>
      <c r="R16" s="67" t="str">
        <f aca="false">IF($B16="","",IF(cfg_currency="IDR",IF($B16="","",IFERROR(IF(AND($Q16&gt;INDEX(tbl_thr_idr,MATCH($Q16,INDEX(tbl_thr_idr,0,1),1),1),$Q16&lt;=INDEX(tbl_thr_idr,MATCH($Q16,INDEX(tbl_thr_idr,0,1),1),1)+INDEX(tbl_thr_idr,MATCH($Q16,INDEX(tbl_thr_idr,0,1),1),2)),FLOOR(INDEX(tbl_thr_idr,MATCH($Q16,INDEX(tbl_thr_idr,0,1),1),1)-1,cfg_round_to),$Q16),$Q16)),IF($B16="","",IFERROR(IF(AND($Q16&gt;INDEX(tbl_thr_usd,MATCH($Q16,INDEX(tbl_thr_usd,0,1),1),1),$Q16&lt;=INDEX(tbl_thr_usd,MATCH($Q16,INDEX(tbl_thr_usd,0,1),1),1)+INDEX(tbl_thr_usd,MATCH($Q16,INDEX(tbl_thr_usd,0,1),1),2)),FLOOR(INDEX(tbl_thr_usd,MATCH($Q16,INDEX(tbl_thr_usd,0,1),1),1)-0.01,cfg_round_to),$Q16),$Q16))))</f>
        <v/>
      </c>
      <c r="S16" s="67" t="str">
        <f aca="false">IF($B16="","",cfg_round_to)</f>
        <v/>
      </c>
      <c r="T16" s="74" t="str">
        <f aca="false">IF($B16="","",IF(N($AA16)=0,MIN(FLOOR($F16*(1+MIN($N16,cfg_max_raise)),$S16),MAX(CEILING($F16*(1+MAX($O16,cfg_max_cut)),$S16),MROUND($R16,$S16))),IF(SIGN(MIN(FLOOR($F16*(1+MIN($N16,cfg_max_raise)),$S16),MAX(CEILING($F16*(1+MAX($O16,cfg_max_cut)),$S16),MROUND($R16,$S16)))-$F16)&gt;0,IF(AND(N($Y16)&gt;=$F16,N($Y16)&gt;=CEILING($F16*(1+MAX($O16,cfg_max_cut)),$S16),N($Y16)&lt;=FLOOR($F16*(1+MIN($N16,cfg_max_raise)),$S16)),N($Y16),IF(AND(N($Z16)&gt;$F16,N($Z16)&gt;=CEILING($F16*(1+MAX($O16,cfg_max_cut)),$S16),N($Z16)&lt;=FLOOR($F16*(1+MIN($N16,cfg_max_raise)),$S16)),N($Z16),MIN(FLOOR($F16*(1+MIN($N16,cfg_max_raise)),$S16),MAX(CEILING($F16*(1+MAX($O16,cfg_max_cut)),$S16),MROUND($R16,$S16))))),IF(SIGN(MIN(FLOOR($F16*(1+MIN($N16,cfg_max_raise)),$S16),MAX(CEILING($F16*(1+MAX($O16,cfg_max_cut)),$S16),MROUND($R16,$S16)))-$F16)&lt;0,IF(AND(N($Z16)&lt;=$F16,N($Z16)&gt;=CEILING($F16*(1+MAX($O16,cfg_max_cut)),$S16),N($Z16)&lt;=FLOOR($F16*(1+MIN($N16,cfg_max_raise)),$S16)),N($Z16),IF(AND(N($Y16)&lt;$F16,N($Y16)&gt;=CEILING($F16*(1+MAX($O16,cfg_max_cut)),$S16),N($Y16)&lt;=FLOOR($F16*(1+MIN($N16,cfg_max_raise)),$S16)),N($Y16),MIN(FLOOR($F16*(1+MIN($N16,cfg_max_raise)),$S16),MAX(CEILING($F16*(1+MAX($O16,cfg_max_cut)),$S16),MROUND($R16,$S16))))),IF(ABS(N($Y16)-$F16)&lt;=ABS(N($Z16)-$F16),IF(AND(N($Y16)&gt;=CEILING($F16*(1+MAX($O16,cfg_max_cut)),$S16),N($Y16)&lt;=FLOOR($F16*(1+MIN($N16,cfg_max_raise)),$S16)),N($Y16),MIN(FLOOR($F16*(1+MIN($N16,cfg_max_raise)),$S16),MAX(CEILING($F16*(1+MAX($O16,cfg_max_cut)),$S16),MROUND($R16,$S16)))),IF(AND(N($Z16)&gt;=CEILING($F16*(1+MAX($O16,cfg_max_cut)),$S16),N($Z16)&lt;=FLOOR($F16*(1+MIN($N16,cfg_max_raise)),$S16)),N($Z16),MIN(FLOOR($F16*(1+MIN($N16,cfg_max_raise)),$S16),MAX(CEILING($F16*(1+MAX($O16,cfg_max_cut)),$S16),MROUND($R16,$S16)))))))))</f>
        <v/>
      </c>
      <c r="U16" s="73" t="str">
        <f aca="false">IF($B16="","",IFERROR($T16/$F16-1,0))</f>
        <v/>
      </c>
      <c r="V16" s="68" t="str">
        <f aca="false">IF($B16="","",$G16*($T16/$F16)^$H16)</f>
        <v/>
      </c>
      <c r="W16" s="75" t="str">
        <f aca="false">IF($B16="","",($T16-$E16)*$V16-($F16-$E16)*$G16)</f>
        <v/>
      </c>
      <c r="X16" s="75" t="str">
        <f aca="false">IF($B16="","",$W16*30)</f>
        <v/>
      </c>
      <c r="Y16" s="28" t="str">
        <f aca="false">IF($B16="","",IF(AND(cfg_round_to&lt;=0.5,IFERROR(VALUE(cfg_ending),0)&gt;0),CEILING($R16-VALUE(cfg_ending),1)+VALUE(cfg_ending),""))</f>
        <v/>
      </c>
      <c r="Z16" s="28" t="str">
        <f aca="false">IF($B16="","",IF(AND(cfg_round_to&lt;=0.5,IFERROR(VALUE(cfg_ending),0)&gt;0),FLOOR($R16-VALUE(cfg_ending),1)+VALUE(cfg_ending),""))</f>
        <v/>
      </c>
      <c r="AA16" s="28" t="str">
        <f aca="false">IF($B16="","",IF(AND(cfg_round_to&lt;=0.5,IFERROR(VALUE(cfg_ending),0)&gt;0),VALUE(cfg_ending),0))</f>
        <v/>
      </c>
    </row>
    <row r="17" customFormat="false" ht="15" hidden="false" customHeight="true" outlineLevel="0" collapsed="false">
      <c r="A17" s="15" t="n">
        <v>12</v>
      </c>
      <c r="B17" s="41" t="str">
        <f aca="false">IF(OWNER_INPUTS!B17="","",OWNER_INPUTS!B17)</f>
        <v/>
      </c>
      <c r="C17" s="41" t="str">
        <f aca="false">IF($B17="","",OWNER_INPUTS!C17)</f>
        <v/>
      </c>
      <c r="D17" s="41" t="str">
        <f aca="false">IF($B17="","",OWNER_INPUTS!D17)</f>
        <v/>
      </c>
      <c r="E17" s="42" t="str">
        <f aca="false">IF($B17="","",OWNER_INPUTS!E17)</f>
        <v/>
      </c>
      <c r="F17" s="42" t="str">
        <f aca="false">IF($B17="","",OWNER_INPUTS!F17)</f>
        <v/>
      </c>
      <c r="G17" s="68" t="str">
        <f aca="false">IF($B17="","",OWNER_INPUTS!G17/30)</f>
        <v/>
      </c>
      <c r="H17" s="67" t="str">
        <f aca="false">IF($B17="","",IFERROR(  IF(ISNUMBER(INDEX(cal_estimate,MATCH($B17,cal_items,0))),    INDEX(cal_estimate,MATCH($B17,cal_items,0)),    IFERROR(VLOOKUP($C17,tbl_priors,2,FALSE()),      VLOOKUP("Other",tbl_priors,2,FALSE()))),  IFERROR(VLOOKUP($C17,tbl_priors,2,FALSE()),    VLOOKUP("Other",tbl_priors,2,FALSE()))))</f>
        <v/>
      </c>
      <c r="I17" s="45" t="str">
        <f aca="false">IF($B17="","",IF(IFERROR(ISNUMBER(INDEX(cal_estimate,MATCH($B17,cal_items,0))),FALSE()),"Estimated","Prior"))</f>
        <v/>
      </c>
      <c r="J17" s="45" t="str">
        <f aca="false">IF($B17="","",IF($I17="Estimated",  IFERROR(INDEX(cal_conf,MATCH($B17,cal_items,0)),"LOW"),"LOW"))</f>
        <v/>
      </c>
      <c r="K17" s="67" t="str">
        <f aca="false">IF($B17="","",IF($H17&lt;-1,$E17*$H17/($H17+1),"test"))</f>
        <v/>
      </c>
      <c r="L17" s="73" t="str">
        <f aca="false">IF($B17="","",IF($J17="HIGH",cfg_shr_high,IF($J17="MEDIUM",cfg_shr_med,cfg_shr_low)))</f>
        <v/>
      </c>
      <c r="M17" s="67" t="str">
        <f aca="false">IF($B17="","",IF($K17="test",  $F17*(1+IFERROR(VLOOKUP($D17,tbl_roles,4,FALSE()),    VLOOKUP("Other",tbl_roles,4,FALSE()))),  $F17+$L17*($K17-$F17)))</f>
        <v/>
      </c>
      <c r="N17" s="73" t="str">
        <f aca="false">IF($B17="","",IFERROR(VLOOKUP($D17,tbl_roles,2,FALSE()),VLOOKUP("Other",tbl_roles,2,FALSE())))</f>
        <v/>
      </c>
      <c r="O17" s="73" t="str">
        <f aca="false">IF($B17="","",IFERROR(VLOOKUP($D17,tbl_roles,3,FALSE()),VLOOKUP("Other",tbl_roles,3,FALSE())))</f>
        <v/>
      </c>
      <c r="P17" s="67" t="str">
        <f aca="false">IF($B17="","",MIN($F17*(1+$N17),MAX($F17*(1+$O17),$M17)))</f>
        <v/>
      </c>
      <c r="Q17" s="67" t="str">
        <f aca="false">IF($B17="","",MIN($F17*(1+cfg_max_raise),MAX($F17*(1+cfg_max_cut),$P17)))</f>
        <v/>
      </c>
      <c r="R17" s="67" t="str">
        <f aca="false">IF($B17="","",IF(cfg_currency="IDR",IF($B17="","",IFERROR(IF(AND($Q17&gt;INDEX(tbl_thr_idr,MATCH($Q17,INDEX(tbl_thr_idr,0,1),1),1),$Q17&lt;=INDEX(tbl_thr_idr,MATCH($Q17,INDEX(tbl_thr_idr,0,1),1),1)+INDEX(tbl_thr_idr,MATCH($Q17,INDEX(tbl_thr_idr,0,1),1),2)),FLOOR(INDEX(tbl_thr_idr,MATCH($Q17,INDEX(tbl_thr_idr,0,1),1),1)-1,cfg_round_to),$Q17),$Q17)),IF($B17="","",IFERROR(IF(AND($Q17&gt;INDEX(tbl_thr_usd,MATCH($Q17,INDEX(tbl_thr_usd,0,1),1),1),$Q17&lt;=INDEX(tbl_thr_usd,MATCH($Q17,INDEX(tbl_thr_usd,0,1),1),1)+INDEX(tbl_thr_usd,MATCH($Q17,INDEX(tbl_thr_usd,0,1),1),2)),FLOOR(INDEX(tbl_thr_usd,MATCH($Q17,INDEX(tbl_thr_usd,0,1),1),1)-0.01,cfg_round_to),$Q17),$Q17))))</f>
        <v/>
      </c>
      <c r="S17" s="67" t="str">
        <f aca="false">IF($B17="","",cfg_round_to)</f>
        <v/>
      </c>
      <c r="T17" s="74" t="str">
        <f aca="false">IF($B17="","",IF(N($AA17)=0,MIN(FLOOR($F17*(1+MIN($N17,cfg_max_raise)),$S17),MAX(CEILING($F17*(1+MAX($O17,cfg_max_cut)),$S17),MROUND($R17,$S17))),IF(SIGN(MIN(FLOOR($F17*(1+MIN($N17,cfg_max_raise)),$S17),MAX(CEILING($F17*(1+MAX($O17,cfg_max_cut)),$S17),MROUND($R17,$S17)))-$F17)&gt;0,IF(AND(N($Y17)&gt;=$F17,N($Y17)&gt;=CEILING($F17*(1+MAX($O17,cfg_max_cut)),$S17),N($Y17)&lt;=FLOOR($F17*(1+MIN($N17,cfg_max_raise)),$S17)),N($Y17),IF(AND(N($Z17)&gt;$F17,N($Z17)&gt;=CEILING($F17*(1+MAX($O17,cfg_max_cut)),$S17),N($Z17)&lt;=FLOOR($F17*(1+MIN($N17,cfg_max_raise)),$S17)),N($Z17),MIN(FLOOR($F17*(1+MIN($N17,cfg_max_raise)),$S17),MAX(CEILING($F17*(1+MAX($O17,cfg_max_cut)),$S17),MROUND($R17,$S17))))),IF(SIGN(MIN(FLOOR($F17*(1+MIN($N17,cfg_max_raise)),$S17),MAX(CEILING($F17*(1+MAX($O17,cfg_max_cut)),$S17),MROUND($R17,$S17)))-$F17)&lt;0,IF(AND(N($Z17)&lt;=$F17,N($Z17)&gt;=CEILING($F17*(1+MAX($O17,cfg_max_cut)),$S17),N($Z17)&lt;=FLOOR($F17*(1+MIN($N17,cfg_max_raise)),$S17)),N($Z17),IF(AND(N($Y17)&lt;$F17,N($Y17)&gt;=CEILING($F17*(1+MAX($O17,cfg_max_cut)),$S17),N($Y17)&lt;=FLOOR($F17*(1+MIN($N17,cfg_max_raise)),$S17)),N($Y17),MIN(FLOOR($F17*(1+MIN($N17,cfg_max_raise)),$S17),MAX(CEILING($F17*(1+MAX($O17,cfg_max_cut)),$S17),MROUND($R17,$S17))))),IF(ABS(N($Y17)-$F17)&lt;=ABS(N($Z17)-$F17),IF(AND(N($Y17)&gt;=CEILING($F17*(1+MAX($O17,cfg_max_cut)),$S17),N($Y17)&lt;=FLOOR($F17*(1+MIN($N17,cfg_max_raise)),$S17)),N($Y17),MIN(FLOOR($F17*(1+MIN($N17,cfg_max_raise)),$S17),MAX(CEILING($F17*(1+MAX($O17,cfg_max_cut)),$S17),MROUND($R17,$S17)))),IF(AND(N($Z17)&gt;=CEILING($F17*(1+MAX($O17,cfg_max_cut)),$S17),N($Z17)&lt;=FLOOR($F17*(1+MIN($N17,cfg_max_raise)),$S17)),N($Z17),MIN(FLOOR($F17*(1+MIN($N17,cfg_max_raise)),$S17),MAX(CEILING($F17*(1+MAX($O17,cfg_max_cut)),$S17),MROUND($R17,$S17)))))))))</f>
        <v/>
      </c>
      <c r="U17" s="73" t="str">
        <f aca="false">IF($B17="","",IFERROR($T17/$F17-1,0))</f>
        <v/>
      </c>
      <c r="V17" s="68" t="str">
        <f aca="false">IF($B17="","",$G17*($T17/$F17)^$H17)</f>
        <v/>
      </c>
      <c r="W17" s="75" t="str">
        <f aca="false">IF($B17="","",($T17-$E17)*$V17-($F17-$E17)*$G17)</f>
        <v/>
      </c>
      <c r="X17" s="75" t="str">
        <f aca="false">IF($B17="","",$W17*30)</f>
        <v/>
      </c>
      <c r="Y17" s="28" t="str">
        <f aca="false">IF($B17="","",IF(AND(cfg_round_to&lt;=0.5,IFERROR(VALUE(cfg_ending),0)&gt;0),CEILING($R17-VALUE(cfg_ending),1)+VALUE(cfg_ending),""))</f>
        <v/>
      </c>
      <c r="Z17" s="28" t="str">
        <f aca="false">IF($B17="","",IF(AND(cfg_round_to&lt;=0.5,IFERROR(VALUE(cfg_ending),0)&gt;0),FLOOR($R17-VALUE(cfg_ending),1)+VALUE(cfg_ending),""))</f>
        <v/>
      </c>
      <c r="AA17" s="28" t="str">
        <f aca="false">IF($B17="","",IF(AND(cfg_round_to&lt;=0.5,IFERROR(VALUE(cfg_ending),0)&gt;0),VALUE(cfg_ending),0))</f>
        <v/>
      </c>
    </row>
    <row r="18" customFormat="false" ht="15" hidden="false" customHeight="true" outlineLevel="0" collapsed="false">
      <c r="A18" s="15" t="n">
        <v>13</v>
      </c>
      <c r="B18" s="41" t="str">
        <f aca="false">IF(OWNER_INPUTS!B18="","",OWNER_INPUTS!B18)</f>
        <v/>
      </c>
      <c r="C18" s="41" t="str">
        <f aca="false">IF($B18="","",OWNER_INPUTS!C18)</f>
        <v/>
      </c>
      <c r="D18" s="41" t="str">
        <f aca="false">IF($B18="","",OWNER_INPUTS!D18)</f>
        <v/>
      </c>
      <c r="E18" s="42" t="str">
        <f aca="false">IF($B18="","",OWNER_INPUTS!E18)</f>
        <v/>
      </c>
      <c r="F18" s="42" t="str">
        <f aca="false">IF($B18="","",OWNER_INPUTS!F18)</f>
        <v/>
      </c>
      <c r="G18" s="68" t="str">
        <f aca="false">IF($B18="","",OWNER_INPUTS!G18/30)</f>
        <v/>
      </c>
      <c r="H18" s="67" t="str">
        <f aca="false">IF($B18="","",IFERROR(  IF(ISNUMBER(INDEX(cal_estimate,MATCH($B18,cal_items,0))),    INDEX(cal_estimate,MATCH($B18,cal_items,0)),    IFERROR(VLOOKUP($C18,tbl_priors,2,FALSE()),      VLOOKUP("Other",tbl_priors,2,FALSE()))),  IFERROR(VLOOKUP($C18,tbl_priors,2,FALSE()),    VLOOKUP("Other",tbl_priors,2,FALSE()))))</f>
        <v/>
      </c>
      <c r="I18" s="45" t="str">
        <f aca="false">IF($B18="","",IF(IFERROR(ISNUMBER(INDEX(cal_estimate,MATCH($B18,cal_items,0))),FALSE()),"Estimated","Prior"))</f>
        <v/>
      </c>
      <c r="J18" s="45" t="str">
        <f aca="false">IF($B18="","",IF($I18="Estimated",  IFERROR(INDEX(cal_conf,MATCH($B18,cal_items,0)),"LOW"),"LOW"))</f>
        <v/>
      </c>
      <c r="K18" s="67" t="str">
        <f aca="false">IF($B18="","",IF($H18&lt;-1,$E18*$H18/($H18+1),"test"))</f>
        <v/>
      </c>
      <c r="L18" s="73" t="str">
        <f aca="false">IF($B18="","",IF($J18="HIGH",cfg_shr_high,IF($J18="MEDIUM",cfg_shr_med,cfg_shr_low)))</f>
        <v/>
      </c>
      <c r="M18" s="67" t="str">
        <f aca="false">IF($B18="","",IF($K18="test",  $F18*(1+IFERROR(VLOOKUP($D18,tbl_roles,4,FALSE()),    VLOOKUP("Other",tbl_roles,4,FALSE()))),  $F18+$L18*($K18-$F18)))</f>
        <v/>
      </c>
      <c r="N18" s="73" t="str">
        <f aca="false">IF($B18="","",IFERROR(VLOOKUP($D18,tbl_roles,2,FALSE()),VLOOKUP("Other",tbl_roles,2,FALSE())))</f>
        <v/>
      </c>
      <c r="O18" s="73" t="str">
        <f aca="false">IF($B18="","",IFERROR(VLOOKUP($D18,tbl_roles,3,FALSE()),VLOOKUP("Other",tbl_roles,3,FALSE())))</f>
        <v/>
      </c>
      <c r="P18" s="67" t="str">
        <f aca="false">IF($B18="","",MIN($F18*(1+$N18),MAX($F18*(1+$O18),$M18)))</f>
        <v/>
      </c>
      <c r="Q18" s="67" t="str">
        <f aca="false">IF($B18="","",MIN($F18*(1+cfg_max_raise),MAX($F18*(1+cfg_max_cut),$P18)))</f>
        <v/>
      </c>
      <c r="R18" s="67" t="str">
        <f aca="false">IF($B18="","",IF(cfg_currency="IDR",IF($B18="","",IFERROR(IF(AND($Q18&gt;INDEX(tbl_thr_idr,MATCH($Q18,INDEX(tbl_thr_idr,0,1),1),1),$Q18&lt;=INDEX(tbl_thr_idr,MATCH($Q18,INDEX(tbl_thr_idr,0,1),1),1)+INDEX(tbl_thr_idr,MATCH($Q18,INDEX(tbl_thr_idr,0,1),1),2)),FLOOR(INDEX(tbl_thr_idr,MATCH($Q18,INDEX(tbl_thr_idr,0,1),1),1)-1,cfg_round_to),$Q18),$Q18)),IF($B18="","",IFERROR(IF(AND($Q18&gt;INDEX(tbl_thr_usd,MATCH($Q18,INDEX(tbl_thr_usd,0,1),1),1),$Q18&lt;=INDEX(tbl_thr_usd,MATCH($Q18,INDEX(tbl_thr_usd,0,1),1),1)+INDEX(tbl_thr_usd,MATCH($Q18,INDEX(tbl_thr_usd,0,1),1),2)),FLOOR(INDEX(tbl_thr_usd,MATCH($Q18,INDEX(tbl_thr_usd,0,1),1),1)-0.01,cfg_round_to),$Q18),$Q18))))</f>
        <v/>
      </c>
      <c r="S18" s="67" t="str">
        <f aca="false">IF($B18="","",cfg_round_to)</f>
        <v/>
      </c>
      <c r="T18" s="74" t="str">
        <f aca="false">IF($B18="","",IF(N($AA18)=0,MIN(FLOOR($F18*(1+MIN($N18,cfg_max_raise)),$S18),MAX(CEILING($F18*(1+MAX($O18,cfg_max_cut)),$S18),MROUND($R18,$S18))),IF(SIGN(MIN(FLOOR($F18*(1+MIN($N18,cfg_max_raise)),$S18),MAX(CEILING($F18*(1+MAX($O18,cfg_max_cut)),$S18),MROUND($R18,$S18)))-$F18)&gt;0,IF(AND(N($Y18)&gt;=$F18,N($Y18)&gt;=CEILING($F18*(1+MAX($O18,cfg_max_cut)),$S18),N($Y18)&lt;=FLOOR($F18*(1+MIN($N18,cfg_max_raise)),$S18)),N($Y18),IF(AND(N($Z18)&gt;$F18,N($Z18)&gt;=CEILING($F18*(1+MAX($O18,cfg_max_cut)),$S18),N($Z18)&lt;=FLOOR($F18*(1+MIN($N18,cfg_max_raise)),$S18)),N($Z18),MIN(FLOOR($F18*(1+MIN($N18,cfg_max_raise)),$S18),MAX(CEILING($F18*(1+MAX($O18,cfg_max_cut)),$S18),MROUND($R18,$S18))))),IF(SIGN(MIN(FLOOR($F18*(1+MIN($N18,cfg_max_raise)),$S18),MAX(CEILING($F18*(1+MAX($O18,cfg_max_cut)),$S18),MROUND($R18,$S18)))-$F18)&lt;0,IF(AND(N($Z18)&lt;=$F18,N($Z18)&gt;=CEILING($F18*(1+MAX($O18,cfg_max_cut)),$S18),N($Z18)&lt;=FLOOR($F18*(1+MIN($N18,cfg_max_raise)),$S18)),N($Z18),IF(AND(N($Y18)&lt;$F18,N($Y18)&gt;=CEILING($F18*(1+MAX($O18,cfg_max_cut)),$S18),N($Y18)&lt;=FLOOR($F18*(1+MIN($N18,cfg_max_raise)),$S18)),N($Y18),MIN(FLOOR($F18*(1+MIN($N18,cfg_max_raise)),$S18),MAX(CEILING($F18*(1+MAX($O18,cfg_max_cut)),$S18),MROUND($R18,$S18))))),IF(ABS(N($Y18)-$F18)&lt;=ABS(N($Z18)-$F18),IF(AND(N($Y18)&gt;=CEILING($F18*(1+MAX($O18,cfg_max_cut)),$S18),N($Y18)&lt;=FLOOR($F18*(1+MIN($N18,cfg_max_raise)),$S18)),N($Y18),MIN(FLOOR($F18*(1+MIN($N18,cfg_max_raise)),$S18),MAX(CEILING($F18*(1+MAX($O18,cfg_max_cut)),$S18),MROUND($R18,$S18)))),IF(AND(N($Z18)&gt;=CEILING($F18*(1+MAX($O18,cfg_max_cut)),$S18),N($Z18)&lt;=FLOOR($F18*(1+MIN($N18,cfg_max_raise)),$S18)),N($Z18),MIN(FLOOR($F18*(1+MIN($N18,cfg_max_raise)),$S18),MAX(CEILING($F18*(1+MAX($O18,cfg_max_cut)),$S18),MROUND($R18,$S18)))))))))</f>
        <v/>
      </c>
      <c r="U18" s="73" t="str">
        <f aca="false">IF($B18="","",IFERROR($T18/$F18-1,0))</f>
        <v/>
      </c>
      <c r="V18" s="68" t="str">
        <f aca="false">IF($B18="","",$G18*($T18/$F18)^$H18)</f>
        <v/>
      </c>
      <c r="W18" s="75" t="str">
        <f aca="false">IF($B18="","",($T18-$E18)*$V18-($F18-$E18)*$G18)</f>
        <v/>
      </c>
      <c r="X18" s="75" t="str">
        <f aca="false">IF($B18="","",$W18*30)</f>
        <v/>
      </c>
      <c r="Y18" s="28" t="str">
        <f aca="false">IF($B18="","",IF(AND(cfg_round_to&lt;=0.5,IFERROR(VALUE(cfg_ending),0)&gt;0),CEILING($R18-VALUE(cfg_ending),1)+VALUE(cfg_ending),""))</f>
        <v/>
      </c>
      <c r="Z18" s="28" t="str">
        <f aca="false">IF($B18="","",IF(AND(cfg_round_to&lt;=0.5,IFERROR(VALUE(cfg_ending),0)&gt;0),FLOOR($R18-VALUE(cfg_ending),1)+VALUE(cfg_ending),""))</f>
        <v/>
      </c>
      <c r="AA18" s="28" t="str">
        <f aca="false">IF($B18="","",IF(AND(cfg_round_to&lt;=0.5,IFERROR(VALUE(cfg_ending),0)&gt;0),VALUE(cfg_ending),0))</f>
        <v/>
      </c>
    </row>
    <row r="19" customFormat="false" ht="15" hidden="false" customHeight="true" outlineLevel="0" collapsed="false">
      <c r="A19" s="15" t="n">
        <v>14</v>
      </c>
      <c r="B19" s="41" t="str">
        <f aca="false">IF(OWNER_INPUTS!B19="","",OWNER_INPUTS!B19)</f>
        <v/>
      </c>
      <c r="C19" s="41" t="str">
        <f aca="false">IF($B19="","",OWNER_INPUTS!C19)</f>
        <v/>
      </c>
      <c r="D19" s="41" t="str">
        <f aca="false">IF($B19="","",OWNER_INPUTS!D19)</f>
        <v/>
      </c>
      <c r="E19" s="42" t="str">
        <f aca="false">IF($B19="","",OWNER_INPUTS!E19)</f>
        <v/>
      </c>
      <c r="F19" s="42" t="str">
        <f aca="false">IF($B19="","",OWNER_INPUTS!F19)</f>
        <v/>
      </c>
      <c r="G19" s="68" t="str">
        <f aca="false">IF($B19="","",OWNER_INPUTS!G19/30)</f>
        <v/>
      </c>
      <c r="H19" s="67" t="str">
        <f aca="false">IF($B19="","",IFERROR(  IF(ISNUMBER(INDEX(cal_estimate,MATCH($B19,cal_items,0))),    INDEX(cal_estimate,MATCH($B19,cal_items,0)),    IFERROR(VLOOKUP($C19,tbl_priors,2,FALSE()),      VLOOKUP("Other",tbl_priors,2,FALSE()))),  IFERROR(VLOOKUP($C19,tbl_priors,2,FALSE()),    VLOOKUP("Other",tbl_priors,2,FALSE()))))</f>
        <v/>
      </c>
      <c r="I19" s="45" t="str">
        <f aca="false">IF($B19="","",IF(IFERROR(ISNUMBER(INDEX(cal_estimate,MATCH($B19,cal_items,0))),FALSE()),"Estimated","Prior"))</f>
        <v/>
      </c>
      <c r="J19" s="45" t="str">
        <f aca="false">IF($B19="","",IF($I19="Estimated",  IFERROR(INDEX(cal_conf,MATCH($B19,cal_items,0)),"LOW"),"LOW"))</f>
        <v/>
      </c>
      <c r="K19" s="67" t="str">
        <f aca="false">IF($B19="","",IF($H19&lt;-1,$E19*$H19/($H19+1),"test"))</f>
        <v/>
      </c>
      <c r="L19" s="73" t="str">
        <f aca="false">IF($B19="","",IF($J19="HIGH",cfg_shr_high,IF($J19="MEDIUM",cfg_shr_med,cfg_shr_low)))</f>
        <v/>
      </c>
      <c r="M19" s="67" t="str">
        <f aca="false">IF($B19="","",IF($K19="test",  $F19*(1+IFERROR(VLOOKUP($D19,tbl_roles,4,FALSE()),    VLOOKUP("Other",tbl_roles,4,FALSE()))),  $F19+$L19*($K19-$F19)))</f>
        <v/>
      </c>
      <c r="N19" s="73" t="str">
        <f aca="false">IF($B19="","",IFERROR(VLOOKUP($D19,tbl_roles,2,FALSE()),VLOOKUP("Other",tbl_roles,2,FALSE())))</f>
        <v/>
      </c>
      <c r="O19" s="73" t="str">
        <f aca="false">IF($B19="","",IFERROR(VLOOKUP($D19,tbl_roles,3,FALSE()),VLOOKUP("Other",tbl_roles,3,FALSE())))</f>
        <v/>
      </c>
      <c r="P19" s="67" t="str">
        <f aca="false">IF($B19="","",MIN($F19*(1+$N19),MAX($F19*(1+$O19),$M19)))</f>
        <v/>
      </c>
      <c r="Q19" s="67" t="str">
        <f aca="false">IF($B19="","",MIN($F19*(1+cfg_max_raise),MAX($F19*(1+cfg_max_cut),$P19)))</f>
        <v/>
      </c>
      <c r="R19" s="67" t="str">
        <f aca="false">IF($B19="","",IF(cfg_currency="IDR",IF($B19="","",IFERROR(IF(AND($Q19&gt;INDEX(tbl_thr_idr,MATCH($Q19,INDEX(tbl_thr_idr,0,1),1),1),$Q19&lt;=INDEX(tbl_thr_idr,MATCH($Q19,INDEX(tbl_thr_idr,0,1),1),1)+INDEX(tbl_thr_idr,MATCH($Q19,INDEX(tbl_thr_idr,0,1),1),2)),FLOOR(INDEX(tbl_thr_idr,MATCH($Q19,INDEX(tbl_thr_idr,0,1),1),1)-1,cfg_round_to),$Q19),$Q19)),IF($B19="","",IFERROR(IF(AND($Q19&gt;INDEX(tbl_thr_usd,MATCH($Q19,INDEX(tbl_thr_usd,0,1),1),1),$Q19&lt;=INDEX(tbl_thr_usd,MATCH($Q19,INDEX(tbl_thr_usd,0,1),1),1)+INDEX(tbl_thr_usd,MATCH($Q19,INDEX(tbl_thr_usd,0,1),1),2)),FLOOR(INDEX(tbl_thr_usd,MATCH($Q19,INDEX(tbl_thr_usd,0,1),1),1)-0.01,cfg_round_to),$Q19),$Q19))))</f>
        <v/>
      </c>
      <c r="S19" s="67" t="str">
        <f aca="false">IF($B19="","",cfg_round_to)</f>
        <v/>
      </c>
      <c r="T19" s="74" t="str">
        <f aca="false">IF($B19="","",IF(N($AA19)=0,MIN(FLOOR($F19*(1+MIN($N19,cfg_max_raise)),$S19),MAX(CEILING($F19*(1+MAX($O19,cfg_max_cut)),$S19),MROUND($R19,$S19))),IF(SIGN(MIN(FLOOR($F19*(1+MIN($N19,cfg_max_raise)),$S19),MAX(CEILING($F19*(1+MAX($O19,cfg_max_cut)),$S19),MROUND($R19,$S19)))-$F19)&gt;0,IF(AND(N($Y19)&gt;=$F19,N($Y19)&gt;=CEILING($F19*(1+MAX($O19,cfg_max_cut)),$S19),N($Y19)&lt;=FLOOR($F19*(1+MIN($N19,cfg_max_raise)),$S19)),N($Y19),IF(AND(N($Z19)&gt;$F19,N($Z19)&gt;=CEILING($F19*(1+MAX($O19,cfg_max_cut)),$S19),N($Z19)&lt;=FLOOR($F19*(1+MIN($N19,cfg_max_raise)),$S19)),N($Z19),MIN(FLOOR($F19*(1+MIN($N19,cfg_max_raise)),$S19),MAX(CEILING($F19*(1+MAX($O19,cfg_max_cut)),$S19),MROUND($R19,$S19))))),IF(SIGN(MIN(FLOOR($F19*(1+MIN($N19,cfg_max_raise)),$S19),MAX(CEILING($F19*(1+MAX($O19,cfg_max_cut)),$S19),MROUND($R19,$S19)))-$F19)&lt;0,IF(AND(N($Z19)&lt;=$F19,N($Z19)&gt;=CEILING($F19*(1+MAX($O19,cfg_max_cut)),$S19),N($Z19)&lt;=FLOOR($F19*(1+MIN($N19,cfg_max_raise)),$S19)),N($Z19),IF(AND(N($Y19)&lt;$F19,N($Y19)&gt;=CEILING($F19*(1+MAX($O19,cfg_max_cut)),$S19),N($Y19)&lt;=FLOOR($F19*(1+MIN($N19,cfg_max_raise)),$S19)),N($Y19),MIN(FLOOR($F19*(1+MIN($N19,cfg_max_raise)),$S19),MAX(CEILING($F19*(1+MAX($O19,cfg_max_cut)),$S19),MROUND($R19,$S19))))),IF(ABS(N($Y19)-$F19)&lt;=ABS(N($Z19)-$F19),IF(AND(N($Y19)&gt;=CEILING($F19*(1+MAX($O19,cfg_max_cut)),$S19),N($Y19)&lt;=FLOOR($F19*(1+MIN($N19,cfg_max_raise)),$S19)),N($Y19),MIN(FLOOR($F19*(1+MIN($N19,cfg_max_raise)),$S19),MAX(CEILING($F19*(1+MAX($O19,cfg_max_cut)),$S19),MROUND($R19,$S19)))),IF(AND(N($Z19)&gt;=CEILING($F19*(1+MAX($O19,cfg_max_cut)),$S19),N($Z19)&lt;=FLOOR($F19*(1+MIN($N19,cfg_max_raise)),$S19)),N($Z19),MIN(FLOOR($F19*(1+MIN($N19,cfg_max_raise)),$S19),MAX(CEILING($F19*(1+MAX($O19,cfg_max_cut)),$S19),MROUND($R19,$S19)))))))))</f>
        <v/>
      </c>
      <c r="U19" s="73" t="str">
        <f aca="false">IF($B19="","",IFERROR($T19/$F19-1,0))</f>
        <v/>
      </c>
      <c r="V19" s="68" t="str">
        <f aca="false">IF($B19="","",$G19*($T19/$F19)^$H19)</f>
        <v/>
      </c>
      <c r="W19" s="75" t="str">
        <f aca="false">IF($B19="","",($T19-$E19)*$V19-($F19-$E19)*$G19)</f>
        <v/>
      </c>
      <c r="X19" s="75" t="str">
        <f aca="false">IF($B19="","",$W19*30)</f>
        <v/>
      </c>
      <c r="Y19" s="28" t="str">
        <f aca="false">IF($B19="","",IF(AND(cfg_round_to&lt;=0.5,IFERROR(VALUE(cfg_ending),0)&gt;0),CEILING($R19-VALUE(cfg_ending),1)+VALUE(cfg_ending),""))</f>
        <v/>
      </c>
      <c r="Z19" s="28" t="str">
        <f aca="false">IF($B19="","",IF(AND(cfg_round_to&lt;=0.5,IFERROR(VALUE(cfg_ending),0)&gt;0),FLOOR($R19-VALUE(cfg_ending),1)+VALUE(cfg_ending),""))</f>
        <v/>
      </c>
      <c r="AA19" s="28" t="str">
        <f aca="false">IF($B19="","",IF(AND(cfg_round_to&lt;=0.5,IFERROR(VALUE(cfg_ending),0)&gt;0),VALUE(cfg_ending),0))</f>
        <v/>
      </c>
    </row>
    <row r="20" customFormat="false" ht="15" hidden="false" customHeight="true" outlineLevel="0" collapsed="false">
      <c r="A20" s="15" t="n">
        <v>15</v>
      </c>
      <c r="B20" s="41" t="str">
        <f aca="false">IF(OWNER_INPUTS!B20="","",OWNER_INPUTS!B20)</f>
        <v/>
      </c>
      <c r="C20" s="41" t="str">
        <f aca="false">IF($B20="","",OWNER_INPUTS!C20)</f>
        <v/>
      </c>
      <c r="D20" s="41" t="str">
        <f aca="false">IF($B20="","",OWNER_INPUTS!D20)</f>
        <v/>
      </c>
      <c r="E20" s="42" t="str">
        <f aca="false">IF($B20="","",OWNER_INPUTS!E20)</f>
        <v/>
      </c>
      <c r="F20" s="42" t="str">
        <f aca="false">IF($B20="","",OWNER_INPUTS!F20)</f>
        <v/>
      </c>
      <c r="G20" s="68" t="str">
        <f aca="false">IF($B20="","",OWNER_INPUTS!G20/30)</f>
        <v/>
      </c>
      <c r="H20" s="67" t="str">
        <f aca="false">IF($B20="","",IFERROR(  IF(ISNUMBER(INDEX(cal_estimate,MATCH($B20,cal_items,0))),    INDEX(cal_estimate,MATCH($B20,cal_items,0)),    IFERROR(VLOOKUP($C20,tbl_priors,2,FALSE()),      VLOOKUP("Other",tbl_priors,2,FALSE()))),  IFERROR(VLOOKUP($C20,tbl_priors,2,FALSE()),    VLOOKUP("Other",tbl_priors,2,FALSE()))))</f>
        <v/>
      </c>
      <c r="I20" s="45" t="str">
        <f aca="false">IF($B20="","",IF(IFERROR(ISNUMBER(INDEX(cal_estimate,MATCH($B20,cal_items,0))),FALSE()),"Estimated","Prior"))</f>
        <v/>
      </c>
      <c r="J20" s="45" t="str">
        <f aca="false">IF($B20="","",IF($I20="Estimated",  IFERROR(INDEX(cal_conf,MATCH($B20,cal_items,0)),"LOW"),"LOW"))</f>
        <v/>
      </c>
      <c r="K20" s="67" t="str">
        <f aca="false">IF($B20="","",IF($H20&lt;-1,$E20*$H20/($H20+1),"test"))</f>
        <v/>
      </c>
      <c r="L20" s="73" t="str">
        <f aca="false">IF($B20="","",IF($J20="HIGH",cfg_shr_high,IF($J20="MEDIUM",cfg_shr_med,cfg_shr_low)))</f>
        <v/>
      </c>
      <c r="M20" s="67" t="str">
        <f aca="false">IF($B20="","",IF($K20="test",  $F20*(1+IFERROR(VLOOKUP($D20,tbl_roles,4,FALSE()),    VLOOKUP("Other",tbl_roles,4,FALSE()))),  $F20+$L20*($K20-$F20)))</f>
        <v/>
      </c>
      <c r="N20" s="73" t="str">
        <f aca="false">IF($B20="","",IFERROR(VLOOKUP($D20,tbl_roles,2,FALSE()),VLOOKUP("Other",tbl_roles,2,FALSE())))</f>
        <v/>
      </c>
      <c r="O20" s="73" t="str">
        <f aca="false">IF($B20="","",IFERROR(VLOOKUP($D20,tbl_roles,3,FALSE()),VLOOKUP("Other",tbl_roles,3,FALSE())))</f>
        <v/>
      </c>
      <c r="P20" s="67" t="str">
        <f aca="false">IF($B20="","",MIN($F20*(1+$N20),MAX($F20*(1+$O20),$M20)))</f>
        <v/>
      </c>
      <c r="Q20" s="67" t="str">
        <f aca="false">IF($B20="","",MIN($F20*(1+cfg_max_raise),MAX($F20*(1+cfg_max_cut),$P20)))</f>
        <v/>
      </c>
      <c r="R20" s="67" t="str">
        <f aca="false">IF($B20="","",IF(cfg_currency="IDR",IF($B20="","",IFERROR(IF(AND($Q20&gt;INDEX(tbl_thr_idr,MATCH($Q20,INDEX(tbl_thr_idr,0,1),1),1),$Q20&lt;=INDEX(tbl_thr_idr,MATCH($Q20,INDEX(tbl_thr_idr,0,1),1),1)+INDEX(tbl_thr_idr,MATCH($Q20,INDEX(tbl_thr_idr,0,1),1),2)),FLOOR(INDEX(tbl_thr_idr,MATCH($Q20,INDEX(tbl_thr_idr,0,1),1),1)-1,cfg_round_to),$Q20),$Q20)),IF($B20="","",IFERROR(IF(AND($Q20&gt;INDEX(tbl_thr_usd,MATCH($Q20,INDEX(tbl_thr_usd,0,1),1),1),$Q20&lt;=INDEX(tbl_thr_usd,MATCH($Q20,INDEX(tbl_thr_usd,0,1),1),1)+INDEX(tbl_thr_usd,MATCH($Q20,INDEX(tbl_thr_usd,0,1),1),2)),FLOOR(INDEX(tbl_thr_usd,MATCH($Q20,INDEX(tbl_thr_usd,0,1),1),1)-0.01,cfg_round_to),$Q20),$Q20))))</f>
        <v/>
      </c>
      <c r="S20" s="67" t="str">
        <f aca="false">IF($B20="","",cfg_round_to)</f>
        <v/>
      </c>
      <c r="T20" s="74" t="str">
        <f aca="false">IF($B20="","",IF(N($AA20)=0,MIN(FLOOR($F20*(1+MIN($N20,cfg_max_raise)),$S20),MAX(CEILING($F20*(1+MAX($O20,cfg_max_cut)),$S20),MROUND($R20,$S20))),IF(SIGN(MIN(FLOOR($F20*(1+MIN($N20,cfg_max_raise)),$S20),MAX(CEILING($F20*(1+MAX($O20,cfg_max_cut)),$S20),MROUND($R20,$S20)))-$F20)&gt;0,IF(AND(N($Y20)&gt;=$F20,N($Y20)&gt;=CEILING($F20*(1+MAX($O20,cfg_max_cut)),$S20),N($Y20)&lt;=FLOOR($F20*(1+MIN($N20,cfg_max_raise)),$S20)),N($Y20),IF(AND(N($Z20)&gt;$F20,N($Z20)&gt;=CEILING($F20*(1+MAX($O20,cfg_max_cut)),$S20),N($Z20)&lt;=FLOOR($F20*(1+MIN($N20,cfg_max_raise)),$S20)),N($Z20),MIN(FLOOR($F20*(1+MIN($N20,cfg_max_raise)),$S20),MAX(CEILING($F20*(1+MAX($O20,cfg_max_cut)),$S20),MROUND($R20,$S20))))),IF(SIGN(MIN(FLOOR($F20*(1+MIN($N20,cfg_max_raise)),$S20),MAX(CEILING($F20*(1+MAX($O20,cfg_max_cut)),$S20),MROUND($R20,$S20)))-$F20)&lt;0,IF(AND(N($Z20)&lt;=$F20,N($Z20)&gt;=CEILING($F20*(1+MAX($O20,cfg_max_cut)),$S20),N($Z20)&lt;=FLOOR($F20*(1+MIN($N20,cfg_max_raise)),$S20)),N($Z20),IF(AND(N($Y20)&lt;$F20,N($Y20)&gt;=CEILING($F20*(1+MAX($O20,cfg_max_cut)),$S20),N($Y20)&lt;=FLOOR($F20*(1+MIN($N20,cfg_max_raise)),$S20)),N($Y20),MIN(FLOOR($F20*(1+MIN($N20,cfg_max_raise)),$S20),MAX(CEILING($F20*(1+MAX($O20,cfg_max_cut)),$S20),MROUND($R20,$S20))))),IF(ABS(N($Y20)-$F20)&lt;=ABS(N($Z20)-$F20),IF(AND(N($Y20)&gt;=CEILING($F20*(1+MAX($O20,cfg_max_cut)),$S20),N($Y20)&lt;=FLOOR($F20*(1+MIN($N20,cfg_max_raise)),$S20)),N($Y20),MIN(FLOOR($F20*(1+MIN($N20,cfg_max_raise)),$S20),MAX(CEILING($F20*(1+MAX($O20,cfg_max_cut)),$S20),MROUND($R20,$S20)))),IF(AND(N($Z20)&gt;=CEILING($F20*(1+MAX($O20,cfg_max_cut)),$S20),N($Z20)&lt;=FLOOR($F20*(1+MIN($N20,cfg_max_raise)),$S20)),N($Z20),MIN(FLOOR($F20*(1+MIN($N20,cfg_max_raise)),$S20),MAX(CEILING($F20*(1+MAX($O20,cfg_max_cut)),$S20),MROUND($R20,$S20)))))))))</f>
        <v/>
      </c>
      <c r="U20" s="73" t="str">
        <f aca="false">IF($B20="","",IFERROR($T20/$F20-1,0))</f>
        <v/>
      </c>
      <c r="V20" s="68" t="str">
        <f aca="false">IF($B20="","",$G20*($T20/$F20)^$H20)</f>
        <v/>
      </c>
      <c r="W20" s="75" t="str">
        <f aca="false">IF($B20="","",($T20-$E20)*$V20-($F20-$E20)*$G20)</f>
        <v/>
      </c>
      <c r="X20" s="75" t="str">
        <f aca="false">IF($B20="","",$W20*30)</f>
        <v/>
      </c>
      <c r="Y20" s="28" t="str">
        <f aca="false">IF($B20="","",IF(AND(cfg_round_to&lt;=0.5,IFERROR(VALUE(cfg_ending),0)&gt;0),CEILING($R20-VALUE(cfg_ending),1)+VALUE(cfg_ending),""))</f>
        <v/>
      </c>
      <c r="Z20" s="28" t="str">
        <f aca="false">IF($B20="","",IF(AND(cfg_round_to&lt;=0.5,IFERROR(VALUE(cfg_ending),0)&gt;0),FLOOR($R20-VALUE(cfg_ending),1)+VALUE(cfg_ending),""))</f>
        <v/>
      </c>
      <c r="AA20" s="28" t="str">
        <f aca="false">IF($B20="","",IF(AND(cfg_round_to&lt;=0.5,IFERROR(VALUE(cfg_ending),0)&gt;0),VALUE(cfg_ending),0))</f>
        <v/>
      </c>
    </row>
    <row r="21" customFormat="false" ht="15" hidden="false" customHeight="true" outlineLevel="0" collapsed="false">
      <c r="A21" s="15" t="n">
        <v>16</v>
      </c>
      <c r="B21" s="41" t="str">
        <f aca="false">IF(OWNER_INPUTS!B21="","",OWNER_INPUTS!B21)</f>
        <v/>
      </c>
      <c r="C21" s="41" t="str">
        <f aca="false">IF($B21="","",OWNER_INPUTS!C21)</f>
        <v/>
      </c>
      <c r="D21" s="41" t="str">
        <f aca="false">IF($B21="","",OWNER_INPUTS!D21)</f>
        <v/>
      </c>
      <c r="E21" s="42" t="str">
        <f aca="false">IF($B21="","",OWNER_INPUTS!E21)</f>
        <v/>
      </c>
      <c r="F21" s="42" t="str">
        <f aca="false">IF($B21="","",OWNER_INPUTS!F21)</f>
        <v/>
      </c>
      <c r="G21" s="68" t="str">
        <f aca="false">IF($B21="","",OWNER_INPUTS!G21/30)</f>
        <v/>
      </c>
      <c r="H21" s="67" t="str">
        <f aca="false">IF($B21="","",IFERROR(  IF(ISNUMBER(INDEX(cal_estimate,MATCH($B21,cal_items,0))),    INDEX(cal_estimate,MATCH($B21,cal_items,0)),    IFERROR(VLOOKUP($C21,tbl_priors,2,FALSE()),      VLOOKUP("Other",tbl_priors,2,FALSE()))),  IFERROR(VLOOKUP($C21,tbl_priors,2,FALSE()),    VLOOKUP("Other",tbl_priors,2,FALSE()))))</f>
        <v/>
      </c>
      <c r="I21" s="45" t="str">
        <f aca="false">IF($B21="","",IF(IFERROR(ISNUMBER(INDEX(cal_estimate,MATCH($B21,cal_items,0))),FALSE()),"Estimated","Prior"))</f>
        <v/>
      </c>
      <c r="J21" s="45" t="str">
        <f aca="false">IF($B21="","",IF($I21="Estimated",  IFERROR(INDEX(cal_conf,MATCH($B21,cal_items,0)),"LOW"),"LOW"))</f>
        <v/>
      </c>
      <c r="K21" s="67" t="str">
        <f aca="false">IF($B21="","",IF($H21&lt;-1,$E21*$H21/($H21+1),"test"))</f>
        <v/>
      </c>
      <c r="L21" s="73" t="str">
        <f aca="false">IF($B21="","",IF($J21="HIGH",cfg_shr_high,IF($J21="MEDIUM",cfg_shr_med,cfg_shr_low)))</f>
        <v/>
      </c>
      <c r="M21" s="67" t="str">
        <f aca="false">IF($B21="","",IF($K21="test",  $F21*(1+IFERROR(VLOOKUP($D21,tbl_roles,4,FALSE()),    VLOOKUP("Other",tbl_roles,4,FALSE()))),  $F21+$L21*($K21-$F21)))</f>
        <v/>
      </c>
      <c r="N21" s="73" t="str">
        <f aca="false">IF($B21="","",IFERROR(VLOOKUP($D21,tbl_roles,2,FALSE()),VLOOKUP("Other",tbl_roles,2,FALSE())))</f>
        <v/>
      </c>
      <c r="O21" s="73" t="str">
        <f aca="false">IF($B21="","",IFERROR(VLOOKUP($D21,tbl_roles,3,FALSE()),VLOOKUP("Other",tbl_roles,3,FALSE())))</f>
        <v/>
      </c>
      <c r="P21" s="67" t="str">
        <f aca="false">IF($B21="","",MIN($F21*(1+$N21),MAX($F21*(1+$O21),$M21)))</f>
        <v/>
      </c>
      <c r="Q21" s="67" t="str">
        <f aca="false">IF($B21="","",MIN($F21*(1+cfg_max_raise),MAX($F21*(1+cfg_max_cut),$P21)))</f>
        <v/>
      </c>
      <c r="R21" s="67" t="str">
        <f aca="false">IF($B21="","",IF(cfg_currency="IDR",IF($B21="","",IFERROR(IF(AND($Q21&gt;INDEX(tbl_thr_idr,MATCH($Q21,INDEX(tbl_thr_idr,0,1),1),1),$Q21&lt;=INDEX(tbl_thr_idr,MATCH($Q21,INDEX(tbl_thr_idr,0,1),1),1)+INDEX(tbl_thr_idr,MATCH($Q21,INDEX(tbl_thr_idr,0,1),1),2)),FLOOR(INDEX(tbl_thr_idr,MATCH($Q21,INDEX(tbl_thr_idr,0,1),1),1)-1,cfg_round_to),$Q21),$Q21)),IF($B21="","",IFERROR(IF(AND($Q21&gt;INDEX(tbl_thr_usd,MATCH($Q21,INDEX(tbl_thr_usd,0,1),1),1),$Q21&lt;=INDEX(tbl_thr_usd,MATCH($Q21,INDEX(tbl_thr_usd,0,1),1),1)+INDEX(tbl_thr_usd,MATCH($Q21,INDEX(tbl_thr_usd,0,1),1),2)),FLOOR(INDEX(tbl_thr_usd,MATCH($Q21,INDEX(tbl_thr_usd,0,1),1),1)-0.01,cfg_round_to),$Q21),$Q21))))</f>
        <v/>
      </c>
      <c r="S21" s="67" t="str">
        <f aca="false">IF($B21="","",cfg_round_to)</f>
        <v/>
      </c>
      <c r="T21" s="74" t="str">
        <f aca="false">IF($B21="","",IF(N($AA21)=0,MIN(FLOOR($F21*(1+MIN($N21,cfg_max_raise)),$S21),MAX(CEILING($F21*(1+MAX($O21,cfg_max_cut)),$S21),MROUND($R21,$S21))),IF(SIGN(MIN(FLOOR($F21*(1+MIN($N21,cfg_max_raise)),$S21),MAX(CEILING($F21*(1+MAX($O21,cfg_max_cut)),$S21),MROUND($R21,$S21)))-$F21)&gt;0,IF(AND(N($Y21)&gt;=$F21,N($Y21)&gt;=CEILING($F21*(1+MAX($O21,cfg_max_cut)),$S21),N($Y21)&lt;=FLOOR($F21*(1+MIN($N21,cfg_max_raise)),$S21)),N($Y21),IF(AND(N($Z21)&gt;$F21,N($Z21)&gt;=CEILING($F21*(1+MAX($O21,cfg_max_cut)),$S21),N($Z21)&lt;=FLOOR($F21*(1+MIN($N21,cfg_max_raise)),$S21)),N($Z21),MIN(FLOOR($F21*(1+MIN($N21,cfg_max_raise)),$S21),MAX(CEILING($F21*(1+MAX($O21,cfg_max_cut)),$S21),MROUND($R21,$S21))))),IF(SIGN(MIN(FLOOR($F21*(1+MIN($N21,cfg_max_raise)),$S21),MAX(CEILING($F21*(1+MAX($O21,cfg_max_cut)),$S21),MROUND($R21,$S21)))-$F21)&lt;0,IF(AND(N($Z21)&lt;=$F21,N($Z21)&gt;=CEILING($F21*(1+MAX($O21,cfg_max_cut)),$S21),N($Z21)&lt;=FLOOR($F21*(1+MIN($N21,cfg_max_raise)),$S21)),N($Z21),IF(AND(N($Y21)&lt;$F21,N($Y21)&gt;=CEILING($F21*(1+MAX($O21,cfg_max_cut)),$S21),N($Y21)&lt;=FLOOR($F21*(1+MIN($N21,cfg_max_raise)),$S21)),N($Y21),MIN(FLOOR($F21*(1+MIN($N21,cfg_max_raise)),$S21),MAX(CEILING($F21*(1+MAX($O21,cfg_max_cut)),$S21),MROUND($R21,$S21))))),IF(ABS(N($Y21)-$F21)&lt;=ABS(N($Z21)-$F21),IF(AND(N($Y21)&gt;=CEILING($F21*(1+MAX($O21,cfg_max_cut)),$S21),N($Y21)&lt;=FLOOR($F21*(1+MIN($N21,cfg_max_raise)),$S21)),N($Y21),MIN(FLOOR($F21*(1+MIN($N21,cfg_max_raise)),$S21),MAX(CEILING($F21*(1+MAX($O21,cfg_max_cut)),$S21),MROUND($R21,$S21)))),IF(AND(N($Z21)&gt;=CEILING($F21*(1+MAX($O21,cfg_max_cut)),$S21),N($Z21)&lt;=FLOOR($F21*(1+MIN($N21,cfg_max_raise)),$S21)),N($Z21),MIN(FLOOR($F21*(1+MIN($N21,cfg_max_raise)),$S21),MAX(CEILING($F21*(1+MAX($O21,cfg_max_cut)),$S21),MROUND($R21,$S21)))))))))</f>
        <v/>
      </c>
      <c r="U21" s="73" t="str">
        <f aca="false">IF($B21="","",IFERROR($T21/$F21-1,0))</f>
        <v/>
      </c>
      <c r="V21" s="68" t="str">
        <f aca="false">IF($B21="","",$G21*($T21/$F21)^$H21)</f>
        <v/>
      </c>
      <c r="W21" s="75" t="str">
        <f aca="false">IF($B21="","",($T21-$E21)*$V21-($F21-$E21)*$G21)</f>
        <v/>
      </c>
      <c r="X21" s="75" t="str">
        <f aca="false">IF($B21="","",$W21*30)</f>
        <v/>
      </c>
      <c r="Y21" s="28" t="str">
        <f aca="false">IF($B21="","",IF(AND(cfg_round_to&lt;=0.5,IFERROR(VALUE(cfg_ending),0)&gt;0),CEILING($R21-VALUE(cfg_ending),1)+VALUE(cfg_ending),""))</f>
        <v/>
      </c>
      <c r="Z21" s="28" t="str">
        <f aca="false">IF($B21="","",IF(AND(cfg_round_to&lt;=0.5,IFERROR(VALUE(cfg_ending),0)&gt;0),FLOOR($R21-VALUE(cfg_ending),1)+VALUE(cfg_ending),""))</f>
        <v/>
      </c>
      <c r="AA21" s="28" t="str">
        <f aca="false">IF($B21="","",IF(AND(cfg_round_to&lt;=0.5,IFERROR(VALUE(cfg_ending),0)&gt;0),VALUE(cfg_ending),0))</f>
        <v/>
      </c>
    </row>
    <row r="22" customFormat="false" ht="15" hidden="false" customHeight="true" outlineLevel="0" collapsed="false">
      <c r="A22" s="15" t="n">
        <v>17</v>
      </c>
      <c r="B22" s="41" t="str">
        <f aca="false">IF(OWNER_INPUTS!B22="","",OWNER_INPUTS!B22)</f>
        <v/>
      </c>
      <c r="C22" s="41" t="str">
        <f aca="false">IF($B22="","",OWNER_INPUTS!C22)</f>
        <v/>
      </c>
      <c r="D22" s="41" t="str">
        <f aca="false">IF($B22="","",OWNER_INPUTS!D22)</f>
        <v/>
      </c>
      <c r="E22" s="42" t="str">
        <f aca="false">IF($B22="","",OWNER_INPUTS!E22)</f>
        <v/>
      </c>
      <c r="F22" s="42" t="str">
        <f aca="false">IF($B22="","",OWNER_INPUTS!F22)</f>
        <v/>
      </c>
      <c r="G22" s="68" t="str">
        <f aca="false">IF($B22="","",OWNER_INPUTS!G22/30)</f>
        <v/>
      </c>
      <c r="H22" s="67" t="str">
        <f aca="false">IF($B22="","",IFERROR(  IF(ISNUMBER(INDEX(cal_estimate,MATCH($B22,cal_items,0))),    INDEX(cal_estimate,MATCH($B22,cal_items,0)),    IFERROR(VLOOKUP($C22,tbl_priors,2,FALSE()),      VLOOKUP("Other",tbl_priors,2,FALSE()))),  IFERROR(VLOOKUP($C22,tbl_priors,2,FALSE()),    VLOOKUP("Other",tbl_priors,2,FALSE()))))</f>
        <v/>
      </c>
      <c r="I22" s="45" t="str">
        <f aca="false">IF($B22="","",IF(IFERROR(ISNUMBER(INDEX(cal_estimate,MATCH($B22,cal_items,0))),FALSE()),"Estimated","Prior"))</f>
        <v/>
      </c>
      <c r="J22" s="45" t="str">
        <f aca="false">IF($B22="","",IF($I22="Estimated",  IFERROR(INDEX(cal_conf,MATCH($B22,cal_items,0)),"LOW"),"LOW"))</f>
        <v/>
      </c>
      <c r="K22" s="67" t="str">
        <f aca="false">IF($B22="","",IF($H22&lt;-1,$E22*$H22/($H22+1),"test"))</f>
        <v/>
      </c>
      <c r="L22" s="73" t="str">
        <f aca="false">IF($B22="","",IF($J22="HIGH",cfg_shr_high,IF($J22="MEDIUM",cfg_shr_med,cfg_shr_low)))</f>
        <v/>
      </c>
      <c r="M22" s="67" t="str">
        <f aca="false">IF($B22="","",IF($K22="test",  $F22*(1+IFERROR(VLOOKUP($D22,tbl_roles,4,FALSE()),    VLOOKUP("Other",tbl_roles,4,FALSE()))),  $F22+$L22*($K22-$F22)))</f>
        <v/>
      </c>
      <c r="N22" s="73" t="str">
        <f aca="false">IF($B22="","",IFERROR(VLOOKUP($D22,tbl_roles,2,FALSE()),VLOOKUP("Other",tbl_roles,2,FALSE())))</f>
        <v/>
      </c>
      <c r="O22" s="73" t="str">
        <f aca="false">IF($B22="","",IFERROR(VLOOKUP($D22,tbl_roles,3,FALSE()),VLOOKUP("Other",tbl_roles,3,FALSE())))</f>
        <v/>
      </c>
      <c r="P22" s="67" t="str">
        <f aca="false">IF($B22="","",MIN($F22*(1+$N22),MAX($F22*(1+$O22),$M22)))</f>
        <v/>
      </c>
      <c r="Q22" s="67" t="str">
        <f aca="false">IF($B22="","",MIN($F22*(1+cfg_max_raise),MAX($F22*(1+cfg_max_cut),$P22)))</f>
        <v/>
      </c>
      <c r="R22" s="67" t="str">
        <f aca="false">IF($B22="","",IF(cfg_currency="IDR",IF($B22="","",IFERROR(IF(AND($Q22&gt;INDEX(tbl_thr_idr,MATCH($Q22,INDEX(tbl_thr_idr,0,1),1),1),$Q22&lt;=INDEX(tbl_thr_idr,MATCH($Q22,INDEX(tbl_thr_idr,0,1),1),1)+INDEX(tbl_thr_idr,MATCH($Q22,INDEX(tbl_thr_idr,0,1),1),2)),FLOOR(INDEX(tbl_thr_idr,MATCH($Q22,INDEX(tbl_thr_idr,0,1),1),1)-1,cfg_round_to),$Q22),$Q22)),IF($B22="","",IFERROR(IF(AND($Q22&gt;INDEX(tbl_thr_usd,MATCH($Q22,INDEX(tbl_thr_usd,0,1),1),1),$Q22&lt;=INDEX(tbl_thr_usd,MATCH($Q22,INDEX(tbl_thr_usd,0,1),1),1)+INDEX(tbl_thr_usd,MATCH($Q22,INDEX(tbl_thr_usd,0,1),1),2)),FLOOR(INDEX(tbl_thr_usd,MATCH($Q22,INDEX(tbl_thr_usd,0,1),1),1)-0.01,cfg_round_to),$Q22),$Q22))))</f>
        <v/>
      </c>
      <c r="S22" s="67" t="str">
        <f aca="false">IF($B22="","",cfg_round_to)</f>
        <v/>
      </c>
      <c r="T22" s="74" t="str">
        <f aca="false">IF($B22="","",IF(N($AA22)=0,MIN(FLOOR($F22*(1+MIN($N22,cfg_max_raise)),$S22),MAX(CEILING($F22*(1+MAX($O22,cfg_max_cut)),$S22),MROUND($R22,$S22))),IF(SIGN(MIN(FLOOR($F22*(1+MIN($N22,cfg_max_raise)),$S22),MAX(CEILING($F22*(1+MAX($O22,cfg_max_cut)),$S22),MROUND($R22,$S22)))-$F22)&gt;0,IF(AND(N($Y22)&gt;=$F22,N($Y22)&gt;=CEILING($F22*(1+MAX($O22,cfg_max_cut)),$S22),N($Y22)&lt;=FLOOR($F22*(1+MIN($N22,cfg_max_raise)),$S22)),N($Y22),IF(AND(N($Z22)&gt;$F22,N($Z22)&gt;=CEILING($F22*(1+MAX($O22,cfg_max_cut)),$S22),N($Z22)&lt;=FLOOR($F22*(1+MIN($N22,cfg_max_raise)),$S22)),N($Z22),MIN(FLOOR($F22*(1+MIN($N22,cfg_max_raise)),$S22),MAX(CEILING($F22*(1+MAX($O22,cfg_max_cut)),$S22),MROUND($R22,$S22))))),IF(SIGN(MIN(FLOOR($F22*(1+MIN($N22,cfg_max_raise)),$S22),MAX(CEILING($F22*(1+MAX($O22,cfg_max_cut)),$S22),MROUND($R22,$S22)))-$F22)&lt;0,IF(AND(N($Z22)&lt;=$F22,N($Z22)&gt;=CEILING($F22*(1+MAX($O22,cfg_max_cut)),$S22),N($Z22)&lt;=FLOOR($F22*(1+MIN($N22,cfg_max_raise)),$S22)),N($Z22),IF(AND(N($Y22)&lt;$F22,N($Y22)&gt;=CEILING($F22*(1+MAX($O22,cfg_max_cut)),$S22),N($Y22)&lt;=FLOOR($F22*(1+MIN($N22,cfg_max_raise)),$S22)),N($Y22),MIN(FLOOR($F22*(1+MIN($N22,cfg_max_raise)),$S22),MAX(CEILING($F22*(1+MAX($O22,cfg_max_cut)),$S22),MROUND($R22,$S22))))),IF(ABS(N($Y22)-$F22)&lt;=ABS(N($Z22)-$F22),IF(AND(N($Y22)&gt;=CEILING($F22*(1+MAX($O22,cfg_max_cut)),$S22),N($Y22)&lt;=FLOOR($F22*(1+MIN($N22,cfg_max_raise)),$S22)),N($Y22),MIN(FLOOR($F22*(1+MIN($N22,cfg_max_raise)),$S22),MAX(CEILING($F22*(1+MAX($O22,cfg_max_cut)),$S22),MROUND($R22,$S22)))),IF(AND(N($Z22)&gt;=CEILING($F22*(1+MAX($O22,cfg_max_cut)),$S22),N($Z22)&lt;=FLOOR($F22*(1+MIN($N22,cfg_max_raise)),$S22)),N($Z22),MIN(FLOOR($F22*(1+MIN($N22,cfg_max_raise)),$S22),MAX(CEILING($F22*(1+MAX($O22,cfg_max_cut)),$S22),MROUND($R22,$S22)))))))))</f>
        <v/>
      </c>
      <c r="U22" s="73" t="str">
        <f aca="false">IF($B22="","",IFERROR($T22/$F22-1,0))</f>
        <v/>
      </c>
      <c r="V22" s="68" t="str">
        <f aca="false">IF($B22="","",$G22*($T22/$F22)^$H22)</f>
        <v/>
      </c>
      <c r="W22" s="75" t="str">
        <f aca="false">IF($B22="","",($T22-$E22)*$V22-($F22-$E22)*$G22)</f>
        <v/>
      </c>
      <c r="X22" s="75" t="str">
        <f aca="false">IF($B22="","",$W22*30)</f>
        <v/>
      </c>
      <c r="Y22" s="28" t="str">
        <f aca="false">IF($B22="","",IF(AND(cfg_round_to&lt;=0.5,IFERROR(VALUE(cfg_ending),0)&gt;0),CEILING($R22-VALUE(cfg_ending),1)+VALUE(cfg_ending),""))</f>
        <v/>
      </c>
      <c r="Z22" s="28" t="str">
        <f aca="false">IF($B22="","",IF(AND(cfg_round_to&lt;=0.5,IFERROR(VALUE(cfg_ending),0)&gt;0),FLOOR($R22-VALUE(cfg_ending),1)+VALUE(cfg_ending),""))</f>
        <v/>
      </c>
      <c r="AA22" s="28" t="str">
        <f aca="false">IF($B22="","",IF(AND(cfg_round_to&lt;=0.5,IFERROR(VALUE(cfg_ending),0)&gt;0),VALUE(cfg_ending),0))</f>
        <v/>
      </c>
    </row>
    <row r="23" customFormat="false" ht="15" hidden="false" customHeight="true" outlineLevel="0" collapsed="false">
      <c r="A23" s="15" t="n">
        <v>18</v>
      </c>
      <c r="B23" s="41" t="str">
        <f aca="false">IF(OWNER_INPUTS!B23="","",OWNER_INPUTS!B23)</f>
        <v/>
      </c>
      <c r="C23" s="41" t="str">
        <f aca="false">IF($B23="","",OWNER_INPUTS!C23)</f>
        <v/>
      </c>
      <c r="D23" s="41" t="str">
        <f aca="false">IF($B23="","",OWNER_INPUTS!D23)</f>
        <v/>
      </c>
      <c r="E23" s="42" t="str">
        <f aca="false">IF($B23="","",OWNER_INPUTS!E23)</f>
        <v/>
      </c>
      <c r="F23" s="42" t="str">
        <f aca="false">IF($B23="","",OWNER_INPUTS!F23)</f>
        <v/>
      </c>
      <c r="G23" s="68" t="str">
        <f aca="false">IF($B23="","",OWNER_INPUTS!G23/30)</f>
        <v/>
      </c>
      <c r="H23" s="67" t="str">
        <f aca="false">IF($B23="","",IFERROR(  IF(ISNUMBER(INDEX(cal_estimate,MATCH($B23,cal_items,0))),    INDEX(cal_estimate,MATCH($B23,cal_items,0)),    IFERROR(VLOOKUP($C23,tbl_priors,2,FALSE()),      VLOOKUP("Other",tbl_priors,2,FALSE()))),  IFERROR(VLOOKUP($C23,tbl_priors,2,FALSE()),    VLOOKUP("Other",tbl_priors,2,FALSE()))))</f>
        <v/>
      </c>
      <c r="I23" s="45" t="str">
        <f aca="false">IF($B23="","",IF(IFERROR(ISNUMBER(INDEX(cal_estimate,MATCH($B23,cal_items,0))),FALSE()),"Estimated","Prior"))</f>
        <v/>
      </c>
      <c r="J23" s="45" t="str">
        <f aca="false">IF($B23="","",IF($I23="Estimated",  IFERROR(INDEX(cal_conf,MATCH($B23,cal_items,0)),"LOW"),"LOW"))</f>
        <v/>
      </c>
      <c r="K23" s="67" t="str">
        <f aca="false">IF($B23="","",IF($H23&lt;-1,$E23*$H23/($H23+1),"test"))</f>
        <v/>
      </c>
      <c r="L23" s="73" t="str">
        <f aca="false">IF($B23="","",IF($J23="HIGH",cfg_shr_high,IF($J23="MEDIUM",cfg_shr_med,cfg_shr_low)))</f>
        <v/>
      </c>
      <c r="M23" s="67" t="str">
        <f aca="false">IF($B23="","",IF($K23="test",  $F23*(1+IFERROR(VLOOKUP($D23,tbl_roles,4,FALSE()),    VLOOKUP("Other",tbl_roles,4,FALSE()))),  $F23+$L23*($K23-$F23)))</f>
        <v/>
      </c>
      <c r="N23" s="73" t="str">
        <f aca="false">IF($B23="","",IFERROR(VLOOKUP($D23,tbl_roles,2,FALSE()),VLOOKUP("Other",tbl_roles,2,FALSE())))</f>
        <v/>
      </c>
      <c r="O23" s="73" t="str">
        <f aca="false">IF($B23="","",IFERROR(VLOOKUP($D23,tbl_roles,3,FALSE()),VLOOKUP("Other",tbl_roles,3,FALSE())))</f>
        <v/>
      </c>
      <c r="P23" s="67" t="str">
        <f aca="false">IF($B23="","",MIN($F23*(1+$N23),MAX($F23*(1+$O23),$M23)))</f>
        <v/>
      </c>
      <c r="Q23" s="67" t="str">
        <f aca="false">IF($B23="","",MIN($F23*(1+cfg_max_raise),MAX($F23*(1+cfg_max_cut),$P23)))</f>
        <v/>
      </c>
      <c r="R23" s="67" t="str">
        <f aca="false">IF($B23="","",IF(cfg_currency="IDR",IF($B23="","",IFERROR(IF(AND($Q23&gt;INDEX(tbl_thr_idr,MATCH($Q23,INDEX(tbl_thr_idr,0,1),1),1),$Q23&lt;=INDEX(tbl_thr_idr,MATCH($Q23,INDEX(tbl_thr_idr,0,1),1),1)+INDEX(tbl_thr_idr,MATCH($Q23,INDEX(tbl_thr_idr,0,1),1),2)),FLOOR(INDEX(tbl_thr_idr,MATCH($Q23,INDEX(tbl_thr_idr,0,1),1),1)-1,cfg_round_to),$Q23),$Q23)),IF($B23="","",IFERROR(IF(AND($Q23&gt;INDEX(tbl_thr_usd,MATCH($Q23,INDEX(tbl_thr_usd,0,1),1),1),$Q23&lt;=INDEX(tbl_thr_usd,MATCH($Q23,INDEX(tbl_thr_usd,0,1),1),1)+INDEX(tbl_thr_usd,MATCH($Q23,INDEX(tbl_thr_usd,0,1),1),2)),FLOOR(INDEX(tbl_thr_usd,MATCH($Q23,INDEX(tbl_thr_usd,0,1),1),1)-0.01,cfg_round_to),$Q23),$Q23))))</f>
        <v/>
      </c>
      <c r="S23" s="67" t="str">
        <f aca="false">IF($B23="","",cfg_round_to)</f>
        <v/>
      </c>
      <c r="T23" s="74" t="str">
        <f aca="false">IF($B23="","",IF(N($AA23)=0,MIN(FLOOR($F23*(1+MIN($N23,cfg_max_raise)),$S23),MAX(CEILING($F23*(1+MAX($O23,cfg_max_cut)),$S23),MROUND($R23,$S23))),IF(SIGN(MIN(FLOOR($F23*(1+MIN($N23,cfg_max_raise)),$S23),MAX(CEILING($F23*(1+MAX($O23,cfg_max_cut)),$S23),MROUND($R23,$S23)))-$F23)&gt;0,IF(AND(N($Y23)&gt;=$F23,N($Y23)&gt;=CEILING($F23*(1+MAX($O23,cfg_max_cut)),$S23),N($Y23)&lt;=FLOOR($F23*(1+MIN($N23,cfg_max_raise)),$S23)),N($Y23),IF(AND(N($Z23)&gt;$F23,N($Z23)&gt;=CEILING($F23*(1+MAX($O23,cfg_max_cut)),$S23),N($Z23)&lt;=FLOOR($F23*(1+MIN($N23,cfg_max_raise)),$S23)),N($Z23),MIN(FLOOR($F23*(1+MIN($N23,cfg_max_raise)),$S23),MAX(CEILING($F23*(1+MAX($O23,cfg_max_cut)),$S23),MROUND($R23,$S23))))),IF(SIGN(MIN(FLOOR($F23*(1+MIN($N23,cfg_max_raise)),$S23),MAX(CEILING($F23*(1+MAX($O23,cfg_max_cut)),$S23),MROUND($R23,$S23)))-$F23)&lt;0,IF(AND(N($Z23)&lt;=$F23,N($Z23)&gt;=CEILING($F23*(1+MAX($O23,cfg_max_cut)),$S23),N($Z23)&lt;=FLOOR($F23*(1+MIN($N23,cfg_max_raise)),$S23)),N($Z23),IF(AND(N($Y23)&lt;$F23,N($Y23)&gt;=CEILING($F23*(1+MAX($O23,cfg_max_cut)),$S23),N($Y23)&lt;=FLOOR($F23*(1+MIN($N23,cfg_max_raise)),$S23)),N($Y23),MIN(FLOOR($F23*(1+MIN($N23,cfg_max_raise)),$S23),MAX(CEILING($F23*(1+MAX($O23,cfg_max_cut)),$S23),MROUND($R23,$S23))))),IF(ABS(N($Y23)-$F23)&lt;=ABS(N($Z23)-$F23),IF(AND(N($Y23)&gt;=CEILING($F23*(1+MAX($O23,cfg_max_cut)),$S23),N($Y23)&lt;=FLOOR($F23*(1+MIN($N23,cfg_max_raise)),$S23)),N($Y23),MIN(FLOOR($F23*(1+MIN($N23,cfg_max_raise)),$S23),MAX(CEILING($F23*(1+MAX($O23,cfg_max_cut)),$S23),MROUND($R23,$S23)))),IF(AND(N($Z23)&gt;=CEILING($F23*(1+MAX($O23,cfg_max_cut)),$S23),N($Z23)&lt;=FLOOR($F23*(1+MIN($N23,cfg_max_raise)),$S23)),N($Z23),MIN(FLOOR($F23*(1+MIN($N23,cfg_max_raise)),$S23),MAX(CEILING($F23*(1+MAX($O23,cfg_max_cut)),$S23),MROUND($R23,$S23)))))))))</f>
        <v/>
      </c>
      <c r="U23" s="73" t="str">
        <f aca="false">IF($B23="","",IFERROR($T23/$F23-1,0))</f>
        <v/>
      </c>
      <c r="V23" s="68" t="str">
        <f aca="false">IF($B23="","",$G23*($T23/$F23)^$H23)</f>
        <v/>
      </c>
      <c r="W23" s="75" t="str">
        <f aca="false">IF($B23="","",($T23-$E23)*$V23-($F23-$E23)*$G23)</f>
        <v/>
      </c>
      <c r="X23" s="75" t="str">
        <f aca="false">IF($B23="","",$W23*30)</f>
        <v/>
      </c>
      <c r="Y23" s="28" t="str">
        <f aca="false">IF($B23="","",IF(AND(cfg_round_to&lt;=0.5,IFERROR(VALUE(cfg_ending),0)&gt;0),CEILING($R23-VALUE(cfg_ending),1)+VALUE(cfg_ending),""))</f>
        <v/>
      </c>
      <c r="Z23" s="28" t="str">
        <f aca="false">IF($B23="","",IF(AND(cfg_round_to&lt;=0.5,IFERROR(VALUE(cfg_ending),0)&gt;0),FLOOR($R23-VALUE(cfg_ending),1)+VALUE(cfg_ending),""))</f>
        <v/>
      </c>
      <c r="AA23" s="28" t="str">
        <f aca="false">IF($B23="","",IF(AND(cfg_round_to&lt;=0.5,IFERROR(VALUE(cfg_ending),0)&gt;0),VALUE(cfg_ending),0))</f>
        <v/>
      </c>
    </row>
    <row r="24" customFormat="false" ht="15" hidden="false" customHeight="true" outlineLevel="0" collapsed="false">
      <c r="A24" s="15" t="n">
        <v>19</v>
      </c>
      <c r="B24" s="41" t="str">
        <f aca="false">IF(OWNER_INPUTS!B24="","",OWNER_INPUTS!B24)</f>
        <v/>
      </c>
      <c r="C24" s="41" t="str">
        <f aca="false">IF($B24="","",OWNER_INPUTS!C24)</f>
        <v/>
      </c>
      <c r="D24" s="41" t="str">
        <f aca="false">IF($B24="","",OWNER_INPUTS!D24)</f>
        <v/>
      </c>
      <c r="E24" s="42" t="str">
        <f aca="false">IF($B24="","",OWNER_INPUTS!E24)</f>
        <v/>
      </c>
      <c r="F24" s="42" t="str">
        <f aca="false">IF($B24="","",OWNER_INPUTS!F24)</f>
        <v/>
      </c>
      <c r="G24" s="68" t="str">
        <f aca="false">IF($B24="","",OWNER_INPUTS!G24/30)</f>
        <v/>
      </c>
      <c r="H24" s="67" t="str">
        <f aca="false">IF($B24="","",IFERROR(  IF(ISNUMBER(INDEX(cal_estimate,MATCH($B24,cal_items,0))),    INDEX(cal_estimate,MATCH($B24,cal_items,0)),    IFERROR(VLOOKUP($C24,tbl_priors,2,FALSE()),      VLOOKUP("Other",tbl_priors,2,FALSE()))),  IFERROR(VLOOKUP($C24,tbl_priors,2,FALSE()),    VLOOKUP("Other",tbl_priors,2,FALSE()))))</f>
        <v/>
      </c>
      <c r="I24" s="45" t="str">
        <f aca="false">IF($B24="","",IF(IFERROR(ISNUMBER(INDEX(cal_estimate,MATCH($B24,cal_items,0))),FALSE()),"Estimated","Prior"))</f>
        <v/>
      </c>
      <c r="J24" s="45" t="str">
        <f aca="false">IF($B24="","",IF($I24="Estimated",  IFERROR(INDEX(cal_conf,MATCH($B24,cal_items,0)),"LOW"),"LOW"))</f>
        <v/>
      </c>
      <c r="K24" s="67" t="str">
        <f aca="false">IF($B24="","",IF($H24&lt;-1,$E24*$H24/($H24+1),"test"))</f>
        <v/>
      </c>
      <c r="L24" s="73" t="str">
        <f aca="false">IF($B24="","",IF($J24="HIGH",cfg_shr_high,IF($J24="MEDIUM",cfg_shr_med,cfg_shr_low)))</f>
        <v/>
      </c>
      <c r="M24" s="67" t="str">
        <f aca="false">IF($B24="","",IF($K24="test",  $F24*(1+IFERROR(VLOOKUP($D24,tbl_roles,4,FALSE()),    VLOOKUP("Other",tbl_roles,4,FALSE()))),  $F24+$L24*($K24-$F24)))</f>
        <v/>
      </c>
      <c r="N24" s="73" t="str">
        <f aca="false">IF($B24="","",IFERROR(VLOOKUP($D24,tbl_roles,2,FALSE()),VLOOKUP("Other",tbl_roles,2,FALSE())))</f>
        <v/>
      </c>
      <c r="O24" s="73" t="str">
        <f aca="false">IF($B24="","",IFERROR(VLOOKUP($D24,tbl_roles,3,FALSE()),VLOOKUP("Other",tbl_roles,3,FALSE())))</f>
        <v/>
      </c>
      <c r="P24" s="67" t="str">
        <f aca="false">IF($B24="","",MIN($F24*(1+$N24),MAX($F24*(1+$O24),$M24)))</f>
        <v/>
      </c>
      <c r="Q24" s="67" t="str">
        <f aca="false">IF($B24="","",MIN($F24*(1+cfg_max_raise),MAX($F24*(1+cfg_max_cut),$P24)))</f>
        <v/>
      </c>
      <c r="R24" s="67" t="str">
        <f aca="false">IF($B24="","",IF(cfg_currency="IDR",IF($B24="","",IFERROR(IF(AND($Q24&gt;INDEX(tbl_thr_idr,MATCH($Q24,INDEX(tbl_thr_idr,0,1),1),1),$Q24&lt;=INDEX(tbl_thr_idr,MATCH($Q24,INDEX(tbl_thr_idr,0,1),1),1)+INDEX(tbl_thr_idr,MATCH($Q24,INDEX(tbl_thr_idr,0,1),1),2)),FLOOR(INDEX(tbl_thr_idr,MATCH($Q24,INDEX(tbl_thr_idr,0,1),1),1)-1,cfg_round_to),$Q24),$Q24)),IF($B24="","",IFERROR(IF(AND($Q24&gt;INDEX(tbl_thr_usd,MATCH($Q24,INDEX(tbl_thr_usd,0,1),1),1),$Q24&lt;=INDEX(tbl_thr_usd,MATCH($Q24,INDEX(tbl_thr_usd,0,1),1),1)+INDEX(tbl_thr_usd,MATCH($Q24,INDEX(tbl_thr_usd,0,1),1),2)),FLOOR(INDEX(tbl_thr_usd,MATCH($Q24,INDEX(tbl_thr_usd,0,1),1),1)-0.01,cfg_round_to),$Q24),$Q24))))</f>
        <v/>
      </c>
      <c r="S24" s="67" t="str">
        <f aca="false">IF($B24="","",cfg_round_to)</f>
        <v/>
      </c>
      <c r="T24" s="74" t="str">
        <f aca="false">IF($B24="","",IF(N($AA24)=0,MIN(FLOOR($F24*(1+MIN($N24,cfg_max_raise)),$S24),MAX(CEILING($F24*(1+MAX($O24,cfg_max_cut)),$S24),MROUND($R24,$S24))),IF(SIGN(MIN(FLOOR($F24*(1+MIN($N24,cfg_max_raise)),$S24),MAX(CEILING($F24*(1+MAX($O24,cfg_max_cut)),$S24),MROUND($R24,$S24)))-$F24)&gt;0,IF(AND(N($Y24)&gt;=$F24,N($Y24)&gt;=CEILING($F24*(1+MAX($O24,cfg_max_cut)),$S24),N($Y24)&lt;=FLOOR($F24*(1+MIN($N24,cfg_max_raise)),$S24)),N($Y24),IF(AND(N($Z24)&gt;$F24,N($Z24)&gt;=CEILING($F24*(1+MAX($O24,cfg_max_cut)),$S24),N($Z24)&lt;=FLOOR($F24*(1+MIN($N24,cfg_max_raise)),$S24)),N($Z24),MIN(FLOOR($F24*(1+MIN($N24,cfg_max_raise)),$S24),MAX(CEILING($F24*(1+MAX($O24,cfg_max_cut)),$S24),MROUND($R24,$S24))))),IF(SIGN(MIN(FLOOR($F24*(1+MIN($N24,cfg_max_raise)),$S24),MAX(CEILING($F24*(1+MAX($O24,cfg_max_cut)),$S24),MROUND($R24,$S24)))-$F24)&lt;0,IF(AND(N($Z24)&lt;=$F24,N($Z24)&gt;=CEILING($F24*(1+MAX($O24,cfg_max_cut)),$S24),N($Z24)&lt;=FLOOR($F24*(1+MIN($N24,cfg_max_raise)),$S24)),N($Z24),IF(AND(N($Y24)&lt;$F24,N($Y24)&gt;=CEILING($F24*(1+MAX($O24,cfg_max_cut)),$S24),N($Y24)&lt;=FLOOR($F24*(1+MIN($N24,cfg_max_raise)),$S24)),N($Y24),MIN(FLOOR($F24*(1+MIN($N24,cfg_max_raise)),$S24),MAX(CEILING($F24*(1+MAX($O24,cfg_max_cut)),$S24),MROUND($R24,$S24))))),IF(ABS(N($Y24)-$F24)&lt;=ABS(N($Z24)-$F24),IF(AND(N($Y24)&gt;=CEILING($F24*(1+MAX($O24,cfg_max_cut)),$S24),N($Y24)&lt;=FLOOR($F24*(1+MIN($N24,cfg_max_raise)),$S24)),N($Y24),MIN(FLOOR($F24*(1+MIN($N24,cfg_max_raise)),$S24),MAX(CEILING($F24*(1+MAX($O24,cfg_max_cut)),$S24),MROUND($R24,$S24)))),IF(AND(N($Z24)&gt;=CEILING($F24*(1+MAX($O24,cfg_max_cut)),$S24),N($Z24)&lt;=FLOOR($F24*(1+MIN($N24,cfg_max_raise)),$S24)),N($Z24),MIN(FLOOR($F24*(1+MIN($N24,cfg_max_raise)),$S24),MAX(CEILING($F24*(1+MAX($O24,cfg_max_cut)),$S24),MROUND($R24,$S24)))))))))</f>
        <v/>
      </c>
      <c r="U24" s="73" t="str">
        <f aca="false">IF($B24="","",IFERROR($T24/$F24-1,0))</f>
        <v/>
      </c>
      <c r="V24" s="68" t="str">
        <f aca="false">IF($B24="","",$G24*($T24/$F24)^$H24)</f>
        <v/>
      </c>
      <c r="W24" s="75" t="str">
        <f aca="false">IF($B24="","",($T24-$E24)*$V24-($F24-$E24)*$G24)</f>
        <v/>
      </c>
      <c r="X24" s="75" t="str">
        <f aca="false">IF($B24="","",$W24*30)</f>
        <v/>
      </c>
      <c r="Y24" s="28" t="str">
        <f aca="false">IF($B24="","",IF(AND(cfg_round_to&lt;=0.5,IFERROR(VALUE(cfg_ending),0)&gt;0),CEILING($R24-VALUE(cfg_ending),1)+VALUE(cfg_ending),""))</f>
        <v/>
      </c>
      <c r="Z24" s="28" t="str">
        <f aca="false">IF($B24="","",IF(AND(cfg_round_to&lt;=0.5,IFERROR(VALUE(cfg_ending),0)&gt;0),FLOOR($R24-VALUE(cfg_ending),1)+VALUE(cfg_ending),""))</f>
        <v/>
      </c>
      <c r="AA24" s="28" t="str">
        <f aca="false">IF($B24="","",IF(AND(cfg_round_to&lt;=0.5,IFERROR(VALUE(cfg_ending),0)&gt;0),VALUE(cfg_ending),0))</f>
        <v/>
      </c>
    </row>
    <row r="25" customFormat="false" ht="15" hidden="false" customHeight="true" outlineLevel="0" collapsed="false">
      <c r="A25" s="15" t="n">
        <v>20</v>
      </c>
      <c r="B25" s="41" t="str">
        <f aca="false">IF(OWNER_INPUTS!B25="","",OWNER_INPUTS!B25)</f>
        <v/>
      </c>
      <c r="C25" s="41" t="str">
        <f aca="false">IF($B25="","",OWNER_INPUTS!C25)</f>
        <v/>
      </c>
      <c r="D25" s="41" t="str">
        <f aca="false">IF($B25="","",OWNER_INPUTS!D25)</f>
        <v/>
      </c>
      <c r="E25" s="42" t="str">
        <f aca="false">IF($B25="","",OWNER_INPUTS!E25)</f>
        <v/>
      </c>
      <c r="F25" s="42" t="str">
        <f aca="false">IF($B25="","",OWNER_INPUTS!F25)</f>
        <v/>
      </c>
      <c r="G25" s="68" t="str">
        <f aca="false">IF($B25="","",OWNER_INPUTS!G25/30)</f>
        <v/>
      </c>
      <c r="H25" s="67" t="str">
        <f aca="false">IF($B25="","",IFERROR(  IF(ISNUMBER(INDEX(cal_estimate,MATCH($B25,cal_items,0))),    INDEX(cal_estimate,MATCH($B25,cal_items,0)),    IFERROR(VLOOKUP($C25,tbl_priors,2,FALSE()),      VLOOKUP("Other",tbl_priors,2,FALSE()))),  IFERROR(VLOOKUP($C25,tbl_priors,2,FALSE()),    VLOOKUP("Other",tbl_priors,2,FALSE()))))</f>
        <v/>
      </c>
      <c r="I25" s="45" t="str">
        <f aca="false">IF($B25="","",IF(IFERROR(ISNUMBER(INDEX(cal_estimate,MATCH($B25,cal_items,0))),FALSE()),"Estimated","Prior"))</f>
        <v/>
      </c>
      <c r="J25" s="45" t="str">
        <f aca="false">IF($B25="","",IF($I25="Estimated",  IFERROR(INDEX(cal_conf,MATCH($B25,cal_items,0)),"LOW"),"LOW"))</f>
        <v/>
      </c>
      <c r="K25" s="67" t="str">
        <f aca="false">IF($B25="","",IF($H25&lt;-1,$E25*$H25/($H25+1),"test"))</f>
        <v/>
      </c>
      <c r="L25" s="73" t="str">
        <f aca="false">IF($B25="","",IF($J25="HIGH",cfg_shr_high,IF($J25="MEDIUM",cfg_shr_med,cfg_shr_low)))</f>
        <v/>
      </c>
      <c r="M25" s="67" t="str">
        <f aca="false">IF($B25="","",IF($K25="test",  $F25*(1+IFERROR(VLOOKUP($D25,tbl_roles,4,FALSE()),    VLOOKUP("Other",tbl_roles,4,FALSE()))),  $F25+$L25*($K25-$F25)))</f>
        <v/>
      </c>
      <c r="N25" s="73" t="str">
        <f aca="false">IF($B25="","",IFERROR(VLOOKUP($D25,tbl_roles,2,FALSE()),VLOOKUP("Other",tbl_roles,2,FALSE())))</f>
        <v/>
      </c>
      <c r="O25" s="73" t="str">
        <f aca="false">IF($B25="","",IFERROR(VLOOKUP($D25,tbl_roles,3,FALSE()),VLOOKUP("Other",tbl_roles,3,FALSE())))</f>
        <v/>
      </c>
      <c r="P25" s="67" t="str">
        <f aca="false">IF($B25="","",MIN($F25*(1+$N25),MAX($F25*(1+$O25),$M25)))</f>
        <v/>
      </c>
      <c r="Q25" s="67" t="str">
        <f aca="false">IF($B25="","",MIN($F25*(1+cfg_max_raise),MAX($F25*(1+cfg_max_cut),$P25)))</f>
        <v/>
      </c>
      <c r="R25" s="67" t="str">
        <f aca="false">IF($B25="","",IF(cfg_currency="IDR",IF($B25="","",IFERROR(IF(AND($Q25&gt;INDEX(tbl_thr_idr,MATCH($Q25,INDEX(tbl_thr_idr,0,1),1),1),$Q25&lt;=INDEX(tbl_thr_idr,MATCH($Q25,INDEX(tbl_thr_idr,0,1),1),1)+INDEX(tbl_thr_idr,MATCH($Q25,INDEX(tbl_thr_idr,0,1),1),2)),FLOOR(INDEX(tbl_thr_idr,MATCH($Q25,INDEX(tbl_thr_idr,0,1),1),1)-1,cfg_round_to),$Q25),$Q25)),IF($B25="","",IFERROR(IF(AND($Q25&gt;INDEX(tbl_thr_usd,MATCH($Q25,INDEX(tbl_thr_usd,0,1),1),1),$Q25&lt;=INDEX(tbl_thr_usd,MATCH($Q25,INDEX(tbl_thr_usd,0,1),1),1)+INDEX(tbl_thr_usd,MATCH($Q25,INDEX(tbl_thr_usd,0,1),1),2)),FLOOR(INDEX(tbl_thr_usd,MATCH($Q25,INDEX(tbl_thr_usd,0,1),1),1)-0.01,cfg_round_to),$Q25),$Q25))))</f>
        <v/>
      </c>
      <c r="S25" s="67" t="str">
        <f aca="false">IF($B25="","",cfg_round_to)</f>
        <v/>
      </c>
      <c r="T25" s="74" t="str">
        <f aca="false">IF($B25="","",IF(N($AA25)=0,MIN(FLOOR($F25*(1+MIN($N25,cfg_max_raise)),$S25),MAX(CEILING($F25*(1+MAX($O25,cfg_max_cut)),$S25),MROUND($R25,$S25))),IF(SIGN(MIN(FLOOR($F25*(1+MIN($N25,cfg_max_raise)),$S25),MAX(CEILING($F25*(1+MAX($O25,cfg_max_cut)),$S25),MROUND($R25,$S25)))-$F25)&gt;0,IF(AND(N($Y25)&gt;=$F25,N($Y25)&gt;=CEILING($F25*(1+MAX($O25,cfg_max_cut)),$S25),N($Y25)&lt;=FLOOR($F25*(1+MIN($N25,cfg_max_raise)),$S25)),N($Y25),IF(AND(N($Z25)&gt;$F25,N($Z25)&gt;=CEILING($F25*(1+MAX($O25,cfg_max_cut)),$S25),N($Z25)&lt;=FLOOR($F25*(1+MIN($N25,cfg_max_raise)),$S25)),N($Z25),MIN(FLOOR($F25*(1+MIN($N25,cfg_max_raise)),$S25),MAX(CEILING($F25*(1+MAX($O25,cfg_max_cut)),$S25),MROUND($R25,$S25))))),IF(SIGN(MIN(FLOOR($F25*(1+MIN($N25,cfg_max_raise)),$S25),MAX(CEILING($F25*(1+MAX($O25,cfg_max_cut)),$S25),MROUND($R25,$S25)))-$F25)&lt;0,IF(AND(N($Z25)&lt;=$F25,N($Z25)&gt;=CEILING($F25*(1+MAX($O25,cfg_max_cut)),$S25),N($Z25)&lt;=FLOOR($F25*(1+MIN($N25,cfg_max_raise)),$S25)),N($Z25),IF(AND(N($Y25)&lt;$F25,N($Y25)&gt;=CEILING($F25*(1+MAX($O25,cfg_max_cut)),$S25),N($Y25)&lt;=FLOOR($F25*(1+MIN($N25,cfg_max_raise)),$S25)),N($Y25),MIN(FLOOR($F25*(1+MIN($N25,cfg_max_raise)),$S25),MAX(CEILING($F25*(1+MAX($O25,cfg_max_cut)),$S25),MROUND($R25,$S25))))),IF(ABS(N($Y25)-$F25)&lt;=ABS(N($Z25)-$F25),IF(AND(N($Y25)&gt;=CEILING($F25*(1+MAX($O25,cfg_max_cut)),$S25),N($Y25)&lt;=FLOOR($F25*(1+MIN($N25,cfg_max_raise)),$S25)),N($Y25),MIN(FLOOR($F25*(1+MIN($N25,cfg_max_raise)),$S25),MAX(CEILING($F25*(1+MAX($O25,cfg_max_cut)),$S25),MROUND($R25,$S25)))),IF(AND(N($Z25)&gt;=CEILING($F25*(1+MAX($O25,cfg_max_cut)),$S25),N($Z25)&lt;=FLOOR($F25*(1+MIN($N25,cfg_max_raise)),$S25)),N($Z25),MIN(FLOOR($F25*(1+MIN($N25,cfg_max_raise)),$S25),MAX(CEILING($F25*(1+MAX($O25,cfg_max_cut)),$S25),MROUND($R25,$S25)))))))))</f>
        <v/>
      </c>
      <c r="U25" s="73" t="str">
        <f aca="false">IF($B25="","",IFERROR($T25/$F25-1,0))</f>
        <v/>
      </c>
      <c r="V25" s="68" t="str">
        <f aca="false">IF($B25="","",$G25*($T25/$F25)^$H25)</f>
        <v/>
      </c>
      <c r="W25" s="75" t="str">
        <f aca="false">IF($B25="","",($T25-$E25)*$V25-($F25-$E25)*$G25)</f>
        <v/>
      </c>
      <c r="X25" s="75" t="str">
        <f aca="false">IF($B25="","",$W25*30)</f>
        <v/>
      </c>
      <c r="Y25" s="28" t="str">
        <f aca="false">IF($B25="","",IF(AND(cfg_round_to&lt;=0.5,IFERROR(VALUE(cfg_ending),0)&gt;0),CEILING($R25-VALUE(cfg_ending),1)+VALUE(cfg_ending),""))</f>
        <v/>
      </c>
      <c r="Z25" s="28" t="str">
        <f aca="false">IF($B25="","",IF(AND(cfg_round_to&lt;=0.5,IFERROR(VALUE(cfg_ending),0)&gt;0),FLOOR($R25-VALUE(cfg_ending),1)+VALUE(cfg_ending),""))</f>
        <v/>
      </c>
      <c r="AA25" s="28" t="str">
        <f aca="false">IF($B25="","",IF(AND(cfg_round_to&lt;=0.5,IFERROR(VALUE(cfg_ending),0)&gt;0),VALUE(cfg_ending),0))</f>
        <v/>
      </c>
    </row>
    <row r="26" customFormat="false" ht="15" hidden="false" customHeight="true" outlineLevel="0" collapsed="false">
      <c r="A26" s="15" t="n">
        <v>21</v>
      </c>
      <c r="B26" s="41" t="str">
        <f aca="false">IF(OWNER_INPUTS!B26="","",OWNER_INPUTS!B26)</f>
        <v/>
      </c>
      <c r="C26" s="41" t="str">
        <f aca="false">IF($B26="","",OWNER_INPUTS!C26)</f>
        <v/>
      </c>
      <c r="D26" s="41" t="str">
        <f aca="false">IF($B26="","",OWNER_INPUTS!D26)</f>
        <v/>
      </c>
      <c r="E26" s="42" t="str">
        <f aca="false">IF($B26="","",OWNER_INPUTS!E26)</f>
        <v/>
      </c>
      <c r="F26" s="42" t="str">
        <f aca="false">IF($B26="","",OWNER_INPUTS!F26)</f>
        <v/>
      </c>
      <c r="G26" s="68" t="str">
        <f aca="false">IF($B26="","",OWNER_INPUTS!G26/30)</f>
        <v/>
      </c>
      <c r="H26" s="67" t="str">
        <f aca="false">IF($B26="","",IFERROR(  IF(ISNUMBER(INDEX(cal_estimate,MATCH($B26,cal_items,0))),    INDEX(cal_estimate,MATCH($B26,cal_items,0)),    IFERROR(VLOOKUP($C26,tbl_priors,2,FALSE()),      VLOOKUP("Other",tbl_priors,2,FALSE()))),  IFERROR(VLOOKUP($C26,tbl_priors,2,FALSE()),    VLOOKUP("Other",tbl_priors,2,FALSE()))))</f>
        <v/>
      </c>
      <c r="I26" s="45" t="str">
        <f aca="false">IF($B26="","",IF(IFERROR(ISNUMBER(INDEX(cal_estimate,MATCH($B26,cal_items,0))),FALSE()),"Estimated","Prior"))</f>
        <v/>
      </c>
      <c r="J26" s="45" t="str">
        <f aca="false">IF($B26="","",IF($I26="Estimated",  IFERROR(INDEX(cal_conf,MATCH($B26,cal_items,0)),"LOW"),"LOW"))</f>
        <v/>
      </c>
      <c r="K26" s="67" t="str">
        <f aca="false">IF($B26="","",IF($H26&lt;-1,$E26*$H26/($H26+1),"test"))</f>
        <v/>
      </c>
      <c r="L26" s="73" t="str">
        <f aca="false">IF($B26="","",IF($J26="HIGH",cfg_shr_high,IF($J26="MEDIUM",cfg_shr_med,cfg_shr_low)))</f>
        <v/>
      </c>
      <c r="M26" s="67" t="str">
        <f aca="false">IF($B26="","",IF($K26="test",  $F26*(1+IFERROR(VLOOKUP($D26,tbl_roles,4,FALSE()),    VLOOKUP("Other",tbl_roles,4,FALSE()))),  $F26+$L26*($K26-$F26)))</f>
        <v/>
      </c>
      <c r="N26" s="73" t="str">
        <f aca="false">IF($B26="","",IFERROR(VLOOKUP($D26,tbl_roles,2,FALSE()),VLOOKUP("Other",tbl_roles,2,FALSE())))</f>
        <v/>
      </c>
      <c r="O26" s="73" t="str">
        <f aca="false">IF($B26="","",IFERROR(VLOOKUP($D26,tbl_roles,3,FALSE()),VLOOKUP("Other",tbl_roles,3,FALSE())))</f>
        <v/>
      </c>
      <c r="P26" s="67" t="str">
        <f aca="false">IF($B26="","",MIN($F26*(1+$N26),MAX($F26*(1+$O26),$M26)))</f>
        <v/>
      </c>
      <c r="Q26" s="67" t="str">
        <f aca="false">IF($B26="","",MIN($F26*(1+cfg_max_raise),MAX($F26*(1+cfg_max_cut),$P26)))</f>
        <v/>
      </c>
      <c r="R26" s="67" t="str">
        <f aca="false">IF($B26="","",IF(cfg_currency="IDR",IF($B26="","",IFERROR(IF(AND($Q26&gt;INDEX(tbl_thr_idr,MATCH($Q26,INDEX(tbl_thr_idr,0,1),1),1),$Q26&lt;=INDEX(tbl_thr_idr,MATCH($Q26,INDEX(tbl_thr_idr,0,1),1),1)+INDEX(tbl_thr_idr,MATCH($Q26,INDEX(tbl_thr_idr,0,1),1),2)),FLOOR(INDEX(tbl_thr_idr,MATCH($Q26,INDEX(tbl_thr_idr,0,1),1),1)-1,cfg_round_to),$Q26),$Q26)),IF($B26="","",IFERROR(IF(AND($Q26&gt;INDEX(tbl_thr_usd,MATCH($Q26,INDEX(tbl_thr_usd,0,1),1),1),$Q26&lt;=INDEX(tbl_thr_usd,MATCH($Q26,INDEX(tbl_thr_usd,0,1),1),1)+INDEX(tbl_thr_usd,MATCH($Q26,INDEX(tbl_thr_usd,0,1),1),2)),FLOOR(INDEX(tbl_thr_usd,MATCH($Q26,INDEX(tbl_thr_usd,0,1),1),1)-0.01,cfg_round_to),$Q26),$Q26))))</f>
        <v/>
      </c>
      <c r="S26" s="67" t="str">
        <f aca="false">IF($B26="","",cfg_round_to)</f>
        <v/>
      </c>
      <c r="T26" s="74" t="str">
        <f aca="false">IF($B26="","",IF(N($AA26)=0,MIN(FLOOR($F26*(1+MIN($N26,cfg_max_raise)),$S26),MAX(CEILING($F26*(1+MAX($O26,cfg_max_cut)),$S26),MROUND($R26,$S26))),IF(SIGN(MIN(FLOOR($F26*(1+MIN($N26,cfg_max_raise)),$S26),MAX(CEILING($F26*(1+MAX($O26,cfg_max_cut)),$S26),MROUND($R26,$S26)))-$F26)&gt;0,IF(AND(N($Y26)&gt;=$F26,N($Y26)&gt;=CEILING($F26*(1+MAX($O26,cfg_max_cut)),$S26),N($Y26)&lt;=FLOOR($F26*(1+MIN($N26,cfg_max_raise)),$S26)),N($Y26),IF(AND(N($Z26)&gt;$F26,N($Z26)&gt;=CEILING($F26*(1+MAX($O26,cfg_max_cut)),$S26),N($Z26)&lt;=FLOOR($F26*(1+MIN($N26,cfg_max_raise)),$S26)),N($Z26),MIN(FLOOR($F26*(1+MIN($N26,cfg_max_raise)),$S26),MAX(CEILING($F26*(1+MAX($O26,cfg_max_cut)),$S26),MROUND($R26,$S26))))),IF(SIGN(MIN(FLOOR($F26*(1+MIN($N26,cfg_max_raise)),$S26),MAX(CEILING($F26*(1+MAX($O26,cfg_max_cut)),$S26),MROUND($R26,$S26)))-$F26)&lt;0,IF(AND(N($Z26)&lt;=$F26,N($Z26)&gt;=CEILING($F26*(1+MAX($O26,cfg_max_cut)),$S26),N($Z26)&lt;=FLOOR($F26*(1+MIN($N26,cfg_max_raise)),$S26)),N($Z26),IF(AND(N($Y26)&lt;$F26,N($Y26)&gt;=CEILING($F26*(1+MAX($O26,cfg_max_cut)),$S26),N($Y26)&lt;=FLOOR($F26*(1+MIN($N26,cfg_max_raise)),$S26)),N($Y26),MIN(FLOOR($F26*(1+MIN($N26,cfg_max_raise)),$S26),MAX(CEILING($F26*(1+MAX($O26,cfg_max_cut)),$S26),MROUND($R26,$S26))))),IF(ABS(N($Y26)-$F26)&lt;=ABS(N($Z26)-$F26),IF(AND(N($Y26)&gt;=CEILING($F26*(1+MAX($O26,cfg_max_cut)),$S26),N($Y26)&lt;=FLOOR($F26*(1+MIN($N26,cfg_max_raise)),$S26)),N($Y26),MIN(FLOOR($F26*(1+MIN($N26,cfg_max_raise)),$S26),MAX(CEILING($F26*(1+MAX($O26,cfg_max_cut)),$S26),MROUND($R26,$S26)))),IF(AND(N($Z26)&gt;=CEILING($F26*(1+MAX($O26,cfg_max_cut)),$S26),N($Z26)&lt;=FLOOR($F26*(1+MIN($N26,cfg_max_raise)),$S26)),N($Z26),MIN(FLOOR($F26*(1+MIN($N26,cfg_max_raise)),$S26),MAX(CEILING($F26*(1+MAX($O26,cfg_max_cut)),$S26),MROUND($R26,$S26)))))))))</f>
        <v/>
      </c>
      <c r="U26" s="73" t="str">
        <f aca="false">IF($B26="","",IFERROR($T26/$F26-1,0))</f>
        <v/>
      </c>
      <c r="V26" s="68" t="str">
        <f aca="false">IF($B26="","",$G26*($T26/$F26)^$H26)</f>
        <v/>
      </c>
      <c r="W26" s="75" t="str">
        <f aca="false">IF($B26="","",($T26-$E26)*$V26-($F26-$E26)*$G26)</f>
        <v/>
      </c>
      <c r="X26" s="75" t="str">
        <f aca="false">IF($B26="","",$W26*30)</f>
        <v/>
      </c>
      <c r="Y26" s="28" t="str">
        <f aca="false">IF($B26="","",IF(AND(cfg_round_to&lt;=0.5,IFERROR(VALUE(cfg_ending),0)&gt;0),CEILING($R26-VALUE(cfg_ending),1)+VALUE(cfg_ending),""))</f>
        <v/>
      </c>
      <c r="Z26" s="28" t="str">
        <f aca="false">IF($B26="","",IF(AND(cfg_round_to&lt;=0.5,IFERROR(VALUE(cfg_ending),0)&gt;0),FLOOR($R26-VALUE(cfg_ending),1)+VALUE(cfg_ending),""))</f>
        <v/>
      </c>
      <c r="AA26" s="28" t="str">
        <f aca="false">IF($B26="","",IF(AND(cfg_round_to&lt;=0.5,IFERROR(VALUE(cfg_ending),0)&gt;0),VALUE(cfg_ending),0))</f>
        <v/>
      </c>
    </row>
    <row r="27" customFormat="false" ht="15" hidden="false" customHeight="true" outlineLevel="0" collapsed="false">
      <c r="A27" s="15" t="n">
        <v>22</v>
      </c>
      <c r="B27" s="41" t="str">
        <f aca="false">IF(OWNER_INPUTS!B27="","",OWNER_INPUTS!B27)</f>
        <v/>
      </c>
      <c r="C27" s="41" t="str">
        <f aca="false">IF($B27="","",OWNER_INPUTS!C27)</f>
        <v/>
      </c>
      <c r="D27" s="41" t="str">
        <f aca="false">IF($B27="","",OWNER_INPUTS!D27)</f>
        <v/>
      </c>
      <c r="E27" s="42" t="str">
        <f aca="false">IF($B27="","",OWNER_INPUTS!E27)</f>
        <v/>
      </c>
      <c r="F27" s="42" t="str">
        <f aca="false">IF($B27="","",OWNER_INPUTS!F27)</f>
        <v/>
      </c>
      <c r="G27" s="68" t="str">
        <f aca="false">IF($B27="","",OWNER_INPUTS!G27/30)</f>
        <v/>
      </c>
      <c r="H27" s="67" t="str">
        <f aca="false">IF($B27="","",IFERROR(  IF(ISNUMBER(INDEX(cal_estimate,MATCH($B27,cal_items,0))),    INDEX(cal_estimate,MATCH($B27,cal_items,0)),    IFERROR(VLOOKUP($C27,tbl_priors,2,FALSE()),      VLOOKUP("Other",tbl_priors,2,FALSE()))),  IFERROR(VLOOKUP($C27,tbl_priors,2,FALSE()),    VLOOKUP("Other",tbl_priors,2,FALSE()))))</f>
        <v/>
      </c>
      <c r="I27" s="45" t="str">
        <f aca="false">IF($B27="","",IF(IFERROR(ISNUMBER(INDEX(cal_estimate,MATCH($B27,cal_items,0))),FALSE()),"Estimated","Prior"))</f>
        <v/>
      </c>
      <c r="J27" s="45" t="str">
        <f aca="false">IF($B27="","",IF($I27="Estimated",  IFERROR(INDEX(cal_conf,MATCH($B27,cal_items,0)),"LOW"),"LOW"))</f>
        <v/>
      </c>
      <c r="K27" s="67" t="str">
        <f aca="false">IF($B27="","",IF($H27&lt;-1,$E27*$H27/($H27+1),"test"))</f>
        <v/>
      </c>
      <c r="L27" s="73" t="str">
        <f aca="false">IF($B27="","",IF($J27="HIGH",cfg_shr_high,IF($J27="MEDIUM",cfg_shr_med,cfg_shr_low)))</f>
        <v/>
      </c>
      <c r="M27" s="67" t="str">
        <f aca="false">IF($B27="","",IF($K27="test",  $F27*(1+IFERROR(VLOOKUP($D27,tbl_roles,4,FALSE()),    VLOOKUP("Other",tbl_roles,4,FALSE()))),  $F27+$L27*($K27-$F27)))</f>
        <v/>
      </c>
      <c r="N27" s="73" t="str">
        <f aca="false">IF($B27="","",IFERROR(VLOOKUP($D27,tbl_roles,2,FALSE()),VLOOKUP("Other",tbl_roles,2,FALSE())))</f>
        <v/>
      </c>
      <c r="O27" s="73" t="str">
        <f aca="false">IF($B27="","",IFERROR(VLOOKUP($D27,tbl_roles,3,FALSE()),VLOOKUP("Other",tbl_roles,3,FALSE())))</f>
        <v/>
      </c>
      <c r="P27" s="67" t="str">
        <f aca="false">IF($B27="","",MIN($F27*(1+$N27),MAX($F27*(1+$O27),$M27)))</f>
        <v/>
      </c>
      <c r="Q27" s="67" t="str">
        <f aca="false">IF($B27="","",MIN($F27*(1+cfg_max_raise),MAX($F27*(1+cfg_max_cut),$P27)))</f>
        <v/>
      </c>
      <c r="R27" s="67" t="str">
        <f aca="false">IF($B27="","",IF(cfg_currency="IDR",IF($B27="","",IFERROR(IF(AND($Q27&gt;INDEX(tbl_thr_idr,MATCH($Q27,INDEX(tbl_thr_idr,0,1),1),1),$Q27&lt;=INDEX(tbl_thr_idr,MATCH($Q27,INDEX(tbl_thr_idr,0,1),1),1)+INDEX(tbl_thr_idr,MATCH($Q27,INDEX(tbl_thr_idr,0,1),1),2)),FLOOR(INDEX(tbl_thr_idr,MATCH($Q27,INDEX(tbl_thr_idr,0,1),1),1)-1,cfg_round_to),$Q27),$Q27)),IF($B27="","",IFERROR(IF(AND($Q27&gt;INDEX(tbl_thr_usd,MATCH($Q27,INDEX(tbl_thr_usd,0,1),1),1),$Q27&lt;=INDEX(tbl_thr_usd,MATCH($Q27,INDEX(tbl_thr_usd,0,1),1),1)+INDEX(tbl_thr_usd,MATCH($Q27,INDEX(tbl_thr_usd,0,1),1),2)),FLOOR(INDEX(tbl_thr_usd,MATCH($Q27,INDEX(tbl_thr_usd,0,1),1),1)-0.01,cfg_round_to),$Q27),$Q27))))</f>
        <v/>
      </c>
      <c r="S27" s="67" t="str">
        <f aca="false">IF($B27="","",cfg_round_to)</f>
        <v/>
      </c>
      <c r="T27" s="74" t="str">
        <f aca="false">IF($B27="","",IF(N($AA27)=0,MIN(FLOOR($F27*(1+MIN($N27,cfg_max_raise)),$S27),MAX(CEILING($F27*(1+MAX($O27,cfg_max_cut)),$S27),MROUND($R27,$S27))),IF(SIGN(MIN(FLOOR($F27*(1+MIN($N27,cfg_max_raise)),$S27),MAX(CEILING($F27*(1+MAX($O27,cfg_max_cut)),$S27),MROUND($R27,$S27)))-$F27)&gt;0,IF(AND(N($Y27)&gt;=$F27,N($Y27)&gt;=CEILING($F27*(1+MAX($O27,cfg_max_cut)),$S27),N($Y27)&lt;=FLOOR($F27*(1+MIN($N27,cfg_max_raise)),$S27)),N($Y27),IF(AND(N($Z27)&gt;$F27,N($Z27)&gt;=CEILING($F27*(1+MAX($O27,cfg_max_cut)),$S27),N($Z27)&lt;=FLOOR($F27*(1+MIN($N27,cfg_max_raise)),$S27)),N($Z27),MIN(FLOOR($F27*(1+MIN($N27,cfg_max_raise)),$S27),MAX(CEILING($F27*(1+MAX($O27,cfg_max_cut)),$S27),MROUND($R27,$S27))))),IF(SIGN(MIN(FLOOR($F27*(1+MIN($N27,cfg_max_raise)),$S27),MAX(CEILING($F27*(1+MAX($O27,cfg_max_cut)),$S27),MROUND($R27,$S27)))-$F27)&lt;0,IF(AND(N($Z27)&lt;=$F27,N($Z27)&gt;=CEILING($F27*(1+MAX($O27,cfg_max_cut)),$S27),N($Z27)&lt;=FLOOR($F27*(1+MIN($N27,cfg_max_raise)),$S27)),N($Z27),IF(AND(N($Y27)&lt;$F27,N($Y27)&gt;=CEILING($F27*(1+MAX($O27,cfg_max_cut)),$S27),N($Y27)&lt;=FLOOR($F27*(1+MIN($N27,cfg_max_raise)),$S27)),N($Y27),MIN(FLOOR($F27*(1+MIN($N27,cfg_max_raise)),$S27),MAX(CEILING($F27*(1+MAX($O27,cfg_max_cut)),$S27),MROUND($R27,$S27))))),IF(ABS(N($Y27)-$F27)&lt;=ABS(N($Z27)-$F27),IF(AND(N($Y27)&gt;=CEILING($F27*(1+MAX($O27,cfg_max_cut)),$S27),N($Y27)&lt;=FLOOR($F27*(1+MIN($N27,cfg_max_raise)),$S27)),N($Y27),MIN(FLOOR($F27*(1+MIN($N27,cfg_max_raise)),$S27),MAX(CEILING($F27*(1+MAX($O27,cfg_max_cut)),$S27),MROUND($R27,$S27)))),IF(AND(N($Z27)&gt;=CEILING($F27*(1+MAX($O27,cfg_max_cut)),$S27),N($Z27)&lt;=FLOOR($F27*(1+MIN($N27,cfg_max_raise)),$S27)),N($Z27),MIN(FLOOR($F27*(1+MIN($N27,cfg_max_raise)),$S27),MAX(CEILING($F27*(1+MAX($O27,cfg_max_cut)),$S27),MROUND($R27,$S27)))))))))</f>
        <v/>
      </c>
      <c r="U27" s="73" t="str">
        <f aca="false">IF($B27="","",IFERROR($T27/$F27-1,0))</f>
        <v/>
      </c>
      <c r="V27" s="68" t="str">
        <f aca="false">IF($B27="","",$G27*($T27/$F27)^$H27)</f>
        <v/>
      </c>
      <c r="W27" s="75" t="str">
        <f aca="false">IF($B27="","",($T27-$E27)*$V27-($F27-$E27)*$G27)</f>
        <v/>
      </c>
      <c r="X27" s="75" t="str">
        <f aca="false">IF($B27="","",$W27*30)</f>
        <v/>
      </c>
      <c r="Y27" s="28" t="str">
        <f aca="false">IF($B27="","",IF(AND(cfg_round_to&lt;=0.5,IFERROR(VALUE(cfg_ending),0)&gt;0),CEILING($R27-VALUE(cfg_ending),1)+VALUE(cfg_ending),""))</f>
        <v/>
      </c>
      <c r="Z27" s="28" t="str">
        <f aca="false">IF($B27="","",IF(AND(cfg_round_to&lt;=0.5,IFERROR(VALUE(cfg_ending),0)&gt;0),FLOOR($R27-VALUE(cfg_ending),1)+VALUE(cfg_ending),""))</f>
        <v/>
      </c>
      <c r="AA27" s="28" t="str">
        <f aca="false">IF($B27="","",IF(AND(cfg_round_to&lt;=0.5,IFERROR(VALUE(cfg_ending),0)&gt;0),VALUE(cfg_ending),0))</f>
        <v/>
      </c>
    </row>
    <row r="28" customFormat="false" ht="15" hidden="false" customHeight="true" outlineLevel="0" collapsed="false">
      <c r="A28" s="15" t="n">
        <v>23</v>
      </c>
      <c r="B28" s="41" t="str">
        <f aca="false">IF(OWNER_INPUTS!B28="","",OWNER_INPUTS!B28)</f>
        <v/>
      </c>
      <c r="C28" s="41" t="str">
        <f aca="false">IF($B28="","",OWNER_INPUTS!C28)</f>
        <v/>
      </c>
      <c r="D28" s="41" t="str">
        <f aca="false">IF($B28="","",OWNER_INPUTS!D28)</f>
        <v/>
      </c>
      <c r="E28" s="42" t="str">
        <f aca="false">IF($B28="","",OWNER_INPUTS!E28)</f>
        <v/>
      </c>
      <c r="F28" s="42" t="str">
        <f aca="false">IF($B28="","",OWNER_INPUTS!F28)</f>
        <v/>
      </c>
      <c r="G28" s="68" t="str">
        <f aca="false">IF($B28="","",OWNER_INPUTS!G28/30)</f>
        <v/>
      </c>
      <c r="H28" s="67" t="str">
        <f aca="false">IF($B28="","",IFERROR(  IF(ISNUMBER(INDEX(cal_estimate,MATCH($B28,cal_items,0))),    INDEX(cal_estimate,MATCH($B28,cal_items,0)),    IFERROR(VLOOKUP($C28,tbl_priors,2,FALSE()),      VLOOKUP("Other",tbl_priors,2,FALSE()))),  IFERROR(VLOOKUP($C28,tbl_priors,2,FALSE()),    VLOOKUP("Other",tbl_priors,2,FALSE()))))</f>
        <v/>
      </c>
      <c r="I28" s="45" t="str">
        <f aca="false">IF($B28="","",IF(IFERROR(ISNUMBER(INDEX(cal_estimate,MATCH($B28,cal_items,0))),FALSE()),"Estimated","Prior"))</f>
        <v/>
      </c>
      <c r="J28" s="45" t="str">
        <f aca="false">IF($B28="","",IF($I28="Estimated",  IFERROR(INDEX(cal_conf,MATCH($B28,cal_items,0)),"LOW"),"LOW"))</f>
        <v/>
      </c>
      <c r="K28" s="67" t="str">
        <f aca="false">IF($B28="","",IF($H28&lt;-1,$E28*$H28/($H28+1),"test"))</f>
        <v/>
      </c>
      <c r="L28" s="73" t="str">
        <f aca="false">IF($B28="","",IF($J28="HIGH",cfg_shr_high,IF($J28="MEDIUM",cfg_shr_med,cfg_shr_low)))</f>
        <v/>
      </c>
      <c r="M28" s="67" t="str">
        <f aca="false">IF($B28="","",IF($K28="test",  $F28*(1+IFERROR(VLOOKUP($D28,tbl_roles,4,FALSE()),    VLOOKUP("Other",tbl_roles,4,FALSE()))),  $F28+$L28*($K28-$F28)))</f>
        <v/>
      </c>
      <c r="N28" s="73" t="str">
        <f aca="false">IF($B28="","",IFERROR(VLOOKUP($D28,tbl_roles,2,FALSE()),VLOOKUP("Other",tbl_roles,2,FALSE())))</f>
        <v/>
      </c>
      <c r="O28" s="73" t="str">
        <f aca="false">IF($B28="","",IFERROR(VLOOKUP($D28,tbl_roles,3,FALSE()),VLOOKUP("Other",tbl_roles,3,FALSE())))</f>
        <v/>
      </c>
      <c r="P28" s="67" t="str">
        <f aca="false">IF($B28="","",MIN($F28*(1+$N28),MAX($F28*(1+$O28),$M28)))</f>
        <v/>
      </c>
      <c r="Q28" s="67" t="str">
        <f aca="false">IF($B28="","",MIN($F28*(1+cfg_max_raise),MAX($F28*(1+cfg_max_cut),$P28)))</f>
        <v/>
      </c>
      <c r="R28" s="67" t="str">
        <f aca="false">IF($B28="","",IF(cfg_currency="IDR",IF($B28="","",IFERROR(IF(AND($Q28&gt;INDEX(tbl_thr_idr,MATCH($Q28,INDEX(tbl_thr_idr,0,1),1),1),$Q28&lt;=INDEX(tbl_thr_idr,MATCH($Q28,INDEX(tbl_thr_idr,0,1),1),1)+INDEX(tbl_thr_idr,MATCH($Q28,INDEX(tbl_thr_idr,0,1),1),2)),FLOOR(INDEX(tbl_thr_idr,MATCH($Q28,INDEX(tbl_thr_idr,0,1),1),1)-1,cfg_round_to),$Q28),$Q28)),IF($B28="","",IFERROR(IF(AND($Q28&gt;INDEX(tbl_thr_usd,MATCH($Q28,INDEX(tbl_thr_usd,0,1),1),1),$Q28&lt;=INDEX(tbl_thr_usd,MATCH($Q28,INDEX(tbl_thr_usd,0,1),1),1)+INDEX(tbl_thr_usd,MATCH($Q28,INDEX(tbl_thr_usd,0,1),1),2)),FLOOR(INDEX(tbl_thr_usd,MATCH($Q28,INDEX(tbl_thr_usd,0,1),1),1)-0.01,cfg_round_to),$Q28),$Q28))))</f>
        <v/>
      </c>
      <c r="S28" s="67" t="str">
        <f aca="false">IF($B28="","",cfg_round_to)</f>
        <v/>
      </c>
      <c r="T28" s="74" t="str">
        <f aca="false">IF($B28="","",IF(N($AA28)=0,MIN(FLOOR($F28*(1+MIN($N28,cfg_max_raise)),$S28),MAX(CEILING($F28*(1+MAX($O28,cfg_max_cut)),$S28),MROUND($R28,$S28))),IF(SIGN(MIN(FLOOR($F28*(1+MIN($N28,cfg_max_raise)),$S28),MAX(CEILING($F28*(1+MAX($O28,cfg_max_cut)),$S28),MROUND($R28,$S28)))-$F28)&gt;0,IF(AND(N($Y28)&gt;=$F28,N($Y28)&gt;=CEILING($F28*(1+MAX($O28,cfg_max_cut)),$S28),N($Y28)&lt;=FLOOR($F28*(1+MIN($N28,cfg_max_raise)),$S28)),N($Y28),IF(AND(N($Z28)&gt;$F28,N($Z28)&gt;=CEILING($F28*(1+MAX($O28,cfg_max_cut)),$S28),N($Z28)&lt;=FLOOR($F28*(1+MIN($N28,cfg_max_raise)),$S28)),N($Z28),MIN(FLOOR($F28*(1+MIN($N28,cfg_max_raise)),$S28),MAX(CEILING($F28*(1+MAX($O28,cfg_max_cut)),$S28),MROUND($R28,$S28))))),IF(SIGN(MIN(FLOOR($F28*(1+MIN($N28,cfg_max_raise)),$S28),MAX(CEILING($F28*(1+MAX($O28,cfg_max_cut)),$S28),MROUND($R28,$S28)))-$F28)&lt;0,IF(AND(N($Z28)&lt;=$F28,N($Z28)&gt;=CEILING($F28*(1+MAX($O28,cfg_max_cut)),$S28),N($Z28)&lt;=FLOOR($F28*(1+MIN($N28,cfg_max_raise)),$S28)),N($Z28),IF(AND(N($Y28)&lt;$F28,N($Y28)&gt;=CEILING($F28*(1+MAX($O28,cfg_max_cut)),$S28),N($Y28)&lt;=FLOOR($F28*(1+MIN($N28,cfg_max_raise)),$S28)),N($Y28),MIN(FLOOR($F28*(1+MIN($N28,cfg_max_raise)),$S28),MAX(CEILING($F28*(1+MAX($O28,cfg_max_cut)),$S28),MROUND($R28,$S28))))),IF(ABS(N($Y28)-$F28)&lt;=ABS(N($Z28)-$F28),IF(AND(N($Y28)&gt;=CEILING($F28*(1+MAX($O28,cfg_max_cut)),$S28),N($Y28)&lt;=FLOOR($F28*(1+MIN($N28,cfg_max_raise)),$S28)),N($Y28),MIN(FLOOR($F28*(1+MIN($N28,cfg_max_raise)),$S28),MAX(CEILING($F28*(1+MAX($O28,cfg_max_cut)),$S28),MROUND($R28,$S28)))),IF(AND(N($Z28)&gt;=CEILING($F28*(1+MAX($O28,cfg_max_cut)),$S28),N($Z28)&lt;=FLOOR($F28*(1+MIN($N28,cfg_max_raise)),$S28)),N($Z28),MIN(FLOOR($F28*(1+MIN($N28,cfg_max_raise)),$S28),MAX(CEILING($F28*(1+MAX($O28,cfg_max_cut)),$S28),MROUND($R28,$S28)))))))))</f>
        <v/>
      </c>
      <c r="U28" s="73" t="str">
        <f aca="false">IF($B28="","",IFERROR($T28/$F28-1,0))</f>
        <v/>
      </c>
      <c r="V28" s="68" t="str">
        <f aca="false">IF($B28="","",$G28*($T28/$F28)^$H28)</f>
        <v/>
      </c>
      <c r="W28" s="75" t="str">
        <f aca="false">IF($B28="","",($T28-$E28)*$V28-($F28-$E28)*$G28)</f>
        <v/>
      </c>
      <c r="X28" s="75" t="str">
        <f aca="false">IF($B28="","",$W28*30)</f>
        <v/>
      </c>
      <c r="Y28" s="28" t="str">
        <f aca="false">IF($B28="","",IF(AND(cfg_round_to&lt;=0.5,IFERROR(VALUE(cfg_ending),0)&gt;0),CEILING($R28-VALUE(cfg_ending),1)+VALUE(cfg_ending),""))</f>
        <v/>
      </c>
      <c r="Z28" s="28" t="str">
        <f aca="false">IF($B28="","",IF(AND(cfg_round_to&lt;=0.5,IFERROR(VALUE(cfg_ending),0)&gt;0),FLOOR($R28-VALUE(cfg_ending),1)+VALUE(cfg_ending),""))</f>
        <v/>
      </c>
      <c r="AA28" s="28" t="str">
        <f aca="false">IF($B28="","",IF(AND(cfg_round_to&lt;=0.5,IFERROR(VALUE(cfg_ending),0)&gt;0),VALUE(cfg_ending),0))</f>
        <v/>
      </c>
    </row>
    <row r="29" customFormat="false" ht="15" hidden="false" customHeight="true" outlineLevel="0" collapsed="false">
      <c r="A29" s="15" t="n">
        <v>24</v>
      </c>
      <c r="B29" s="41" t="str">
        <f aca="false">IF(OWNER_INPUTS!B29="","",OWNER_INPUTS!B29)</f>
        <v/>
      </c>
      <c r="C29" s="41" t="str">
        <f aca="false">IF($B29="","",OWNER_INPUTS!C29)</f>
        <v/>
      </c>
      <c r="D29" s="41" t="str">
        <f aca="false">IF($B29="","",OWNER_INPUTS!D29)</f>
        <v/>
      </c>
      <c r="E29" s="42" t="str">
        <f aca="false">IF($B29="","",OWNER_INPUTS!E29)</f>
        <v/>
      </c>
      <c r="F29" s="42" t="str">
        <f aca="false">IF($B29="","",OWNER_INPUTS!F29)</f>
        <v/>
      </c>
      <c r="G29" s="68" t="str">
        <f aca="false">IF($B29="","",OWNER_INPUTS!G29/30)</f>
        <v/>
      </c>
      <c r="H29" s="67" t="str">
        <f aca="false">IF($B29="","",IFERROR(  IF(ISNUMBER(INDEX(cal_estimate,MATCH($B29,cal_items,0))),    INDEX(cal_estimate,MATCH($B29,cal_items,0)),    IFERROR(VLOOKUP($C29,tbl_priors,2,FALSE()),      VLOOKUP("Other",tbl_priors,2,FALSE()))),  IFERROR(VLOOKUP($C29,tbl_priors,2,FALSE()),    VLOOKUP("Other",tbl_priors,2,FALSE()))))</f>
        <v/>
      </c>
      <c r="I29" s="45" t="str">
        <f aca="false">IF($B29="","",IF(IFERROR(ISNUMBER(INDEX(cal_estimate,MATCH($B29,cal_items,0))),FALSE()),"Estimated","Prior"))</f>
        <v/>
      </c>
      <c r="J29" s="45" t="str">
        <f aca="false">IF($B29="","",IF($I29="Estimated",  IFERROR(INDEX(cal_conf,MATCH($B29,cal_items,0)),"LOW"),"LOW"))</f>
        <v/>
      </c>
      <c r="K29" s="67" t="str">
        <f aca="false">IF($B29="","",IF($H29&lt;-1,$E29*$H29/($H29+1),"test"))</f>
        <v/>
      </c>
      <c r="L29" s="73" t="str">
        <f aca="false">IF($B29="","",IF($J29="HIGH",cfg_shr_high,IF($J29="MEDIUM",cfg_shr_med,cfg_shr_low)))</f>
        <v/>
      </c>
      <c r="M29" s="67" t="str">
        <f aca="false">IF($B29="","",IF($K29="test",  $F29*(1+IFERROR(VLOOKUP($D29,tbl_roles,4,FALSE()),    VLOOKUP("Other",tbl_roles,4,FALSE()))),  $F29+$L29*($K29-$F29)))</f>
        <v/>
      </c>
      <c r="N29" s="73" t="str">
        <f aca="false">IF($B29="","",IFERROR(VLOOKUP($D29,tbl_roles,2,FALSE()),VLOOKUP("Other",tbl_roles,2,FALSE())))</f>
        <v/>
      </c>
      <c r="O29" s="73" t="str">
        <f aca="false">IF($B29="","",IFERROR(VLOOKUP($D29,tbl_roles,3,FALSE()),VLOOKUP("Other",tbl_roles,3,FALSE())))</f>
        <v/>
      </c>
      <c r="P29" s="67" t="str">
        <f aca="false">IF($B29="","",MIN($F29*(1+$N29),MAX($F29*(1+$O29),$M29)))</f>
        <v/>
      </c>
      <c r="Q29" s="67" t="str">
        <f aca="false">IF($B29="","",MIN($F29*(1+cfg_max_raise),MAX($F29*(1+cfg_max_cut),$P29)))</f>
        <v/>
      </c>
      <c r="R29" s="67" t="str">
        <f aca="false">IF($B29="","",IF(cfg_currency="IDR",IF($B29="","",IFERROR(IF(AND($Q29&gt;INDEX(tbl_thr_idr,MATCH($Q29,INDEX(tbl_thr_idr,0,1),1),1),$Q29&lt;=INDEX(tbl_thr_idr,MATCH($Q29,INDEX(tbl_thr_idr,0,1),1),1)+INDEX(tbl_thr_idr,MATCH($Q29,INDEX(tbl_thr_idr,0,1),1),2)),FLOOR(INDEX(tbl_thr_idr,MATCH($Q29,INDEX(tbl_thr_idr,0,1),1),1)-1,cfg_round_to),$Q29),$Q29)),IF($B29="","",IFERROR(IF(AND($Q29&gt;INDEX(tbl_thr_usd,MATCH($Q29,INDEX(tbl_thr_usd,0,1),1),1),$Q29&lt;=INDEX(tbl_thr_usd,MATCH($Q29,INDEX(tbl_thr_usd,0,1),1),1)+INDEX(tbl_thr_usd,MATCH($Q29,INDEX(tbl_thr_usd,0,1),1),2)),FLOOR(INDEX(tbl_thr_usd,MATCH($Q29,INDEX(tbl_thr_usd,0,1),1),1)-0.01,cfg_round_to),$Q29),$Q29))))</f>
        <v/>
      </c>
      <c r="S29" s="67" t="str">
        <f aca="false">IF($B29="","",cfg_round_to)</f>
        <v/>
      </c>
      <c r="T29" s="74" t="str">
        <f aca="false">IF($B29="","",IF(N($AA29)=0,MIN(FLOOR($F29*(1+MIN($N29,cfg_max_raise)),$S29),MAX(CEILING($F29*(1+MAX($O29,cfg_max_cut)),$S29),MROUND($R29,$S29))),IF(SIGN(MIN(FLOOR($F29*(1+MIN($N29,cfg_max_raise)),$S29),MAX(CEILING($F29*(1+MAX($O29,cfg_max_cut)),$S29),MROUND($R29,$S29)))-$F29)&gt;0,IF(AND(N($Y29)&gt;=$F29,N($Y29)&gt;=CEILING($F29*(1+MAX($O29,cfg_max_cut)),$S29),N($Y29)&lt;=FLOOR($F29*(1+MIN($N29,cfg_max_raise)),$S29)),N($Y29),IF(AND(N($Z29)&gt;$F29,N($Z29)&gt;=CEILING($F29*(1+MAX($O29,cfg_max_cut)),$S29),N($Z29)&lt;=FLOOR($F29*(1+MIN($N29,cfg_max_raise)),$S29)),N($Z29),MIN(FLOOR($F29*(1+MIN($N29,cfg_max_raise)),$S29),MAX(CEILING($F29*(1+MAX($O29,cfg_max_cut)),$S29),MROUND($R29,$S29))))),IF(SIGN(MIN(FLOOR($F29*(1+MIN($N29,cfg_max_raise)),$S29),MAX(CEILING($F29*(1+MAX($O29,cfg_max_cut)),$S29),MROUND($R29,$S29)))-$F29)&lt;0,IF(AND(N($Z29)&lt;=$F29,N($Z29)&gt;=CEILING($F29*(1+MAX($O29,cfg_max_cut)),$S29),N($Z29)&lt;=FLOOR($F29*(1+MIN($N29,cfg_max_raise)),$S29)),N($Z29),IF(AND(N($Y29)&lt;$F29,N($Y29)&gt;=CEILING($F29*(1+MAX($O29,cfg_max_cut)),$S29),N($Y29)&lt;=FLOOR($F29*(1+MIN($N29,cfg_max_raise)),$S29)),N($Y29),MIN(FLOOR($F29*(1+MIN($N29,cfg_max_raise)),$S29),MAX(CEILING($F29*(1+MAX($O29,cfg_max_cut)),$S29),MROUND($R29,$S29))))),IF(ABS(N($Y29)-$F29)&lt;=ABS(N($Z29)-$F29),IF(AND(N($Y29)&gt;=CEILING($F29*(1+MAX($O29,cfg_max_cut)),$S29),N($Y29)&lt;=FLOOR($F29*(1+MIN($N29,cfg_max_raise)),$S29)),N($Y29),MIN(FLOOR($F29*(1+MIN($N29,cfg_max_raise)),$S29),MAX(CEILING($F29*(1+MAX($O29,cfg_max_cut)),$S29),MROUND($R29,$S29)))),IF(AND(N($Z29)&gt;=CEILING($F29*(1+MAX($O29,cfg_max_cut)),$S29),N($Z29)&lt;=FLOOR($F29*(1+MIN($N29,cfg_max_raise)),$S29)),N($Z29),MIN(FLOOR($F29*(1+MIN($N29,cfg_max_raise)),$S29),MAX(CEILING($F29*(1+MAX($O29,cfg_max_cut)),$S29),MROUND($R29,$S29)))))))))</f>
        <v/>
      </c>
      <c r="U29" s="73" t="str">
        <f aca="false">IF($B29="","",IFERROR($T29/$F29-1,0))</f>
        <v/>
      </c>
      <c r="V29" s="68" t="str">
        <f aca="false">IF($B29="","",$G29*($T29/$F29)^$H29)</f>
        <v/>
      </c>
      <c r="W29" s="75" t="str">
        <f aca="false">IF($B29="","",($T29-$E29)*$V29-($F29-$E29)*$G29)</f>
        <v/>
      </c>
      <c r="X29" s="75" t="str">
        <f aca="false">IF($B29="","",$W29*30)</f>
        <v/>
      </c>
      <c r="Y29" s="28" t="str">
        <f aca="false">IF($B29="","",IF(AND(cfg_round_to&lt;=0.5,IFERROR(VALUE(cfg_ending),0)&gt;0),CEILING($R29-VALUE(cfg_ending),1)+VALUE(cfg_ending),""))</f>
        <v/>
      </c>
      <c r="Z29" s="28" t="str">
        <f aca="false">IF($B29="","",IF(AND(cfg_round_to&lt;=0.5,IFERROR(VALUE(cfg_ending),0)&gt;0),FLOOR($R29-VALUE(cfg_ending),1)+VALUE(cfg_ending),""))</f>
        <v/>
      </c>
      <c r="AA29" s="28" t="str">
        <f aca="false">IF($B29="","",IF(AND(cfg_round_to&lt;=0.5,IFERROR(VALUE(cfg_ending),0)&gt;0),VALUE(cfg_ending),0))</f>
        <v/>
      </c>
    </row>
    <row r="30" customFormat="false" ht="15" hidden="false" customHeight="true" outlineLevel="0" collapsed="false">
      <c r="A30" s="15" t="n">
        <v>25</v>
      </c>
      <c r="B30" s="41" t="str">
        <f aca="false">IF(OWNER_INPUTS!B30="","",OWNER_INPUTS!B30)</f>
        <v/>
      </c>
      <c r="C30" s="41" t="str">
        <f aca="false">IF($B30="","",OWNER_INPUTS!C30)</f>
        <v/>
      </c>
      <c r="D30" s="41" t="str">
        <f aca="false">IF($B30="","",OWNER_INPUTS!D30)</f>
        <v/>
      </c>
      <c r="E30" s="42" t="str">
        <f aca="false">IF($B30="","",OWNER_INPUTS!E30)</f>
        <v/>
      </c>
      <c r="F30" s="42" t="str">
        <f aca="false">IF($B30="","",OWNER_INPUTS!F30)</f>
        <v/>
      </c>
      <c r="G30" s="68" t="str">
        <f aca="false">IF($B30="","",OWNER_INPUTS!G30/30)</f>
        <v/>
      </c>
      <c r="H30" s="67" t="str">
        <f aca="false">IF($B30="","",IFERROR(  IF(ISNUMBER(INDEX(cal_estimate,MATCH($B30,cal_items,0))),    INDEX(cal_estimate,MATCH($B30,cal_items,0)),    IFERROR(VLOOKUP($C30,tbl_priors,2,FALSE()),      VLOOKUP("Other",tbl_priors,2,FALSE()))),  IFERROR(VLOOKUP($C30,tbl_priors,2,FALSE()),    VLOOKUP("Other",tbl_priors,2,FALSE()))))</f>
        <v/>
      </c>
      <c r="I30" s="45" t="str">
        <f aca="false">IF($B30="","",IF(IFERROR(ISNUMBER(INDEX(cal_estimate,MATCH($B30,cal_items,0))),FALSE()),"Estimated","Prior"))</f>
        <v/>
      </c>
      <c r="J30" s="45" t="str">
        <f aca="false">IF($B30="","",IF($I30="Estimated",  IFERROR(INDEX(cal_conf,MATCH($B30,cal_items,0)),"LOW"),"LOW"))</f>
        <v/>
      </c>
      <c r="K30" s="67" t="str">
        <f aca="false">IF($B30="","",IF($H30&lt;-1,$E30*$H30/($H30+1),"test"))</f>
        <v/>
      </c>
      <c r="L30" s="73" t="str">
        <f aca="false">IF($B30="","",IF($J30="HIGH",cfg_shr_high,IF($J30="MEDIUM",cfg_shr_med,cfg_shr_low)))</f>
        <v/>
      </c>
      <c r="M30" s="67" t="str">
        <f aca="false">IF($B30="","",IF($K30="test",  $F30*(1+IFERROR(VLOOKUP($D30,tbl_roles,4,FALSE()),    VLOOKUP("Other",tbl_roles,4,FALSE()))),  $F30+$L30*($K30-$F30)))</f>
        <v/>
      </c>
      <c r="N30" s="73" t="str">
        <f aca="false">IF($B30="","",IFERROR(VLOOKUP($D30,tbl_roles,2,FALSE()),VLOOKUP("Other",tbl_roles,2,FALSE())))</f>
        <v/>
      </c>
      <c r="O30" s="73" t="str">
        <f aca="false">IF($B30="","",IFERROR(VLOOKUP($D30,tbl_roles,3,FALSE()),VLOOKUP("Other",tbl_roles,3,FALSE())))</f>
        <v/>
      </c>
      <c r="P30" s="67" t="str">
        <f aca="false">IF($B30="","",MIN($F30*(1+$N30),MAX($F30*(1+$O30),$M30)))</f>
        <v/>
      </c>
      <c r="Q30" s="67" t="str">
        <f aca="false">IF($B30="","",MIN($F30*(1+cfg_max_raise),MAX($F30*(1+cfg_max_cut),$P30)))</f>
        <v/>
      </c>
      <c r="R30" s="67" t="str">
        <f aca="false">IF($B30="","",IF(cfg_currency="IDR",IF($B30="","",IFERROR(IF(AND($Q30&gt;INDEX(tbl_thr_idr,MATCH($Q30,INDEX(tbl_thr_idr,0,1),1),1),$Q30&lt;=INDEX(tbl_thr_idr,MATCH($Q30,INDEX(tbl_thr_idr,0,1),1),1)+INDEX(tbl_thr_idr,MATCH($Q30,INDEX(tbl_thr_idr,0,1),1),2)),FLOOR(INDEX(tbl_thr_idr,MATCH($Q30,INDEX(tbl_thr_idr,0,1),1),1)-1,cfg_round_to),$Q30),$Q30)),IF($B30="","",IFERROR(IF(AND($Q30&gt;INDEX(tbl_thr_usd,MATCH($Q30,INDEX(tbl_thr_usd,0,1),1),1),$Q30&lt;=INDEX(tbl_thr_usd,MATCH($Q30,INDEX(tbl_thr_usd,0,1),1),1)+INDEX(tbl_thr_usd,MATCH($Q30,INDEX(tbl_thr_usd,0,1),1),2)),FLOOR(INDEX(tbl_thr_usd,MATCH($Q30,INDEX(tbl_thr_usd,0,1),1),1)-0.01,cfg_round_to),$Q30),$Q30))))</f>
        <v/>
      </c>
      <c r="S30" s="67" t="str">
        <f aca="false">IF($B30="","",cfg_round_to)</f>
        <v/>
      </c>
      <c r="T30" s="74" t="str">
        <f aca="false">IF($B30="","",IF(N($AA30)=0,MIN(FLOOR($F30*(1+MIN($N30,cfg_max_raise)),$S30),MAX(CEILING($F30*(1+MAX($O30,cfg_max_cut)),$S30),MROUND($R30,$S30))),IF(SIGN(MIN(FLOOR($F30*(1+MIN($N30,cfg_max_raise)),$S30),MAX(CEILING($F30*(1+MAX($O30,cfg_max_cut)),$S30),MROUND($R30,$S30)))-$F30)&gt;0,IF(AND(N($Y30)&gt;=$F30,N($Y30)&gt;=CEILING($F30*(1+MAX($O30,cfg_max_cut)),$S30),N($Y30)&lt;=FLOOR($F30*(1+MIN($N30,cfg_max_raise)),$S30)),N($Y30),IF(AND(N($Z30)&gt;$F30,N($Z30)&gt;=CEILING($F30*(1+MAX($O30,cfg_max_cut)),$S30),N($Z30)&lt;=FLOOR($F30*(1+MIN($N30,cfg_max_raise)),$S30)),N($Z30),MIN(FLOOR($F30*(1+MIN($N30,cfg_max_raise)),$S30),MAX(CEILING($F30*(1+MAX($O30,cfg_max_cut)),$S30),MROUND($R30,$S30))))),IF(SIGN(MIN(FLOOR($F30*(1+MIN($N30,cfg_max_raise)),$S30),MAX(CEILING($F30*(1+MAX($O30,cfg_max_cut)),$S30),MROUND($R30,$S30)))-$F30)&lt;0,IF(AND(N($Z30)&lt;=$F30,N($Z30)&gt;=CEILING($F30*(1+MAX($O30,cfg_max_cut)),$S30),N($Z30)&lt;=FLOOR($F30*(1+MIN($N30,cfg_max_raise)),$S30)),N($Z30),IF(AND(N($Y30)&lt;$F30,N($Y30)&gt;=CEILING($F30*(1+MAX($O30,cfg_max_cut)),$S30),N($Y30)&lt;=FLOOR($F30*(1+MIN($N30,cfg_max_raise)),$S30)),N($Y30),MIN(FLOOR($F30*(1+MIN($N30,cfg_max_raise)),$S30),MAX(CEILING($F30*(1+MAX($O30,cfg_max_cut)),$S30),MROUND($R30,$S30))))),IF(ABS(N($Y30)-$F30)&lt;=ABS(N($Z30)-$F30),IF(AND(N($Y30)&gt;=CEILING($F30*(1+MAX($O30,cfg_max_cut)),$S30),N($Y30)&lt;=FLOOR($F30*(1+MIN($N30,cfg_max_raise)),$S30)),N($Y30),MIN(FLOOR($F30*(1+MIN($N30,cfg_max_raise)),$S30),MAX(CEILING($F30*(1+MAX($O30,cfg_max_cut)),$S30),MROUND($R30,$S30)))),IF(AND(N($Z30)&gt;=CEILING($F30*(1+MAX($O30,cfg_max_cut)),$S30),N($Z30)&lt;=FLOOR($F30*(1+MIN($N30,cfg_max_raise)),$S30)),N($Z30),MIN(FLOOR($F30*(1+MIN($N30,cfg_max_raise)),$S30),MAX(CEILING($F30*(1+MAX($O30,cfg_max_cut)),$S30),MROUND($R30,$S30)))))))))</f>
        <v/>
      </c>
      <c r="U30" s="73" t="str">
        <f aca="false">IF($B30="","",IFERROR($T30/$F30-1,0))</f>
        <v/>
      </c>
      <c r="V30" s="68" t="str">
        <f aca="false">IF($B30="","",$G30*($T30/$F30)^$H30)</f>
        <v/>
      </c>
      <c r="W30" s="75" t="str">
        <f aca="false">IF($B30="","",($T30-$E30)*$V30-($F30-$E30)*$G30)</f>
        <v/>
      </c>
      <c r="X30" s="75" t="str">
        <f aca="false">IF($B30="","",$W30*30)</f>
        <v/>
      </c>
      <c r="Y30" s="28" t="str">
        <f aca="false">IF($B30="","",IF(AND(cfg_round_to&lt;=0.5,IFERROR(VALUE(cfg_ending),0)&gt;0),CEILING($R30-VALUE(cfg_ending),1)+VALUE(cfg_ending),""))</f>
        <v/>
      </c>
      <c r="Z30" s="28" t="str">
        <f aca="false">IF($B30="","",IF(AND(cfg_round_to&lt;=0.5,IFERROR(VALUE(cfg_ending),0)&gt;0),FLOOR($R30-VALUE(cfg_ending),1)+VALUE(cfg_ending),""))</f>
        <v/>
      </c>
      <c r="AA30" s="28" t="str">
        <f aca="false">IF($B30="","",IF(AND(cfg_round_to&lt;=0.5,IFERROR(VALUE(cfg_ending),0)&gt;0),VALUE(cfg_ending),0))</f>
        <v/>
      </c>
    </row>
    <row r="31" customFormat="false" ht="15" hidden="false" customHeight="true" outlineLevel="0" collapsed="false">
      <c r="A31" s="15" t="n">
        <v>26</v>
      </c>
      <c r="B31" s="41" t="str">
        <f aca="false">IF(OWNER_INPUTS!B31="","",OWNER_INPUTS!B31)</f>
        <v/>
      </c>
      <c r="C31" s="41" t="str">
        <f aca="false">IF($B31="","",OWNER_INPUTS!C31)</f>
        <v/>
      </c>
      <c r="D31" s="41" t="str">
        <f aca="false">IF($B31="","",OWNER_INPUTS!D31)</f>
        <v/>
      </c>
      <c r="E31" s="42" t="str">
        <f aca="false">IF($B31="","",OWNER_INPUTS!E31)</f>
        <v/>
      </c>
      <c r="F31" s="42" t="str">
        <f aca="false">IF($B31="","",OWNER_INPUTS!F31)</f>
        <v/>
      </c>
      <c r="G31" s="68" t="str">
        <f aca="false">IF($B31="","",OWNER_INPUTS!G31/30)</f>
        <v/>
      </c>
      <c r="H31" s="67" t="str">
        <f aca="false">IF($B31="","",IFERROR(  IF(ISNUMBER(INDEX(cal_estimate,MATCH($B31,cal_items,0))),    INDEX(cal_estimate,MATCH($B31,cal_items,0)),    IFERROR(VLOOKUP($C31,tbl_priors,2,FALSE()),      VLOOKUP("Other",tbl_priors,2,FALSE()))),  IFERROR(VLOOKUP($C31,tbl_priors,2,FALSE()),    VLOOKUP("Other",tbl_priors,2,FALSE()))))</f>
        <v/>
      </c>
      <c r="I31" s="45" t="str">
        <f aca="false">IF($B31="","",IF(IFERROR(ISNUMBER(INDEX(cal_estimate,MATCH($B31,cal_items,0))),FALSE()),"Estimated","Prior"))</f>
        <v/>
      </c>
      <c r="J31" s="45" t="str">
        <f aca="false">IF($B31="","",IF($I31="Estimated",  IFERROR(INDEX(cal_conf,MATCH($B31,cal_items,0)),"LOW"),"LOW"))</f>
        <v/>
      </c>
      <c r="K31" s="67" t="str">
        <f aca="false">IF($B31="","",IF($H31&lt;-1,$E31*$H31/($H31+1),"test"))</f>
        <v/>
      </c>
      <c r="L31" s="73" t="str">
        <f aca="false">IF($B31="","",IF($J31="HIGH",cfg_shr_high,IF($J31="MEDIUM",cfg_shr_med,cfg_shr_low)))</f>
        <v/>
      </c>
      <c r="M31" s="67" t="str">
        <f aca="false">IF($B31="","",IF($K31="test",  $F31*(1+IFERROR(VLOOKUP($D31,tbl_roles,4,FALSE()),    VLOOKUP("Other",tbl_roles,4,FALSE()))),  $F31+$L31*($K31-$F31)))</f>
        <v/>
      </c>
      <c r="N31" s="73" t="str">
        <f aca="false">IF($B31="","",IFERROR(VLOOKUP($D31,tbl_roles,2,FALSE()),VLOOKUP("Other",tbl_roles,2,FALSE())))</f>
        <v/>
      </c>
      <c r="O31" s="73" t="str">
        <f aca="false">IF($B31="","",IFERROR(VLOOKUP($D31,tbl_roles,3,FALSE()),VLOOKUP("Other",tbl_roles,3,FALSE())))</f>
        <v/>
      </c>
      <c r="P31" s="67" t="str">
        <f aca="false">IF($B31="","",MIN($F31*(1+$N31),MAX($F31*(1+$O31),$M31)))</f>
        <v/>
      </c>
      <c r="Q31" s="67" t="str">
        <f aca="false">IF($B31="","",MIN($F31*(1+cfg_max_raise),MAX($F31*(1+cfg_max_cut),$P31)))</f>
        <v/>
      </c>
      <c r="R31" s="67" t="str">
        <f aca="false">IF($B31="","",IF(cfg_currency="IDR",IF($B31="","",IFERROR(IF(AND($Q31&gt;INDEX(tbl_thr_idr,MATCH($Q31,INDEX(tbl_thr_idr,0,1),1),1),$Q31&lt;=INDEX(tbl_thr_idr,MATCH($Q31,INDEX(tbl_thr_idr,0,1),1),1)+INDEX(tbl_thr_idr,MATCH($Q31,INDEX(tbl_thr_idr,0,1),1),2)),FLOOR(INDEX(tbl_thr_idr,MATCH($Q31,INDEX(tbl_thr_idr,0,1),1),1)-1,cfg_round_to),$Q31),$Q31)),IF($B31="","",IFERROR(IF(AND($Q31&gt;INDEX(tbl_thr_usd,MATCH($Q31,INDEX(tbl_thr_usd,0,1),1),1),$Q31&lt;=INDEX(tbl_thr_usd,MATCH($Q31,INDEX(tbl_thr_usd,0,1),1),1)+INDEX(tbl_thr_usd,MATCH($Q31,INDEX(tbl_thr_usd,0,1),1),2)),FLOOR(INDEX(tbl_thr_usd,MATCH($Q31,INDEX(tbl_thr_usd,0,1),1),1)-0.01,cfg_round_to),$Q31),$Q31))))</f>
        <v/>
      </c>
      <c r="S31" s="67" t="str">
        <f aca="false">IF($B31="","",cfg_round_to)</f>
        <v/>
      </c>
      <c r="T31" s="74" t="str">
        <f aca="false">IF($B31="","",IF(N($AA31)=0,MIN(FLOOR($F31*(1+MIN($N31,cfg_max_raise)),$S31),MAX(CEILING($F31*(1+MAX($O31,cfg_max_cut)),$S31),MROUND($R31,$S31))),IF(SIGN(MIN(FLOOR($F31*(1+MIN($N31,cfg_max_raise)),$S31),MAX(CEILING($F31*(1+MAX($O31,cfg_max_cut)),$S31),MROUND($R31,$S31)))-$F31)&gt;0,IF(AND(N($Y31)&gt;=$F31,N($Y31)&gt;=CEILING($F31*(1+MAX($O31,cfg_max_cut)),$S31),N($Y31)&lt;=FLOOR($F31*(1+MIN($N31,cfg_max_raise)),$S31)),N($Y31),IF(AND(N($Z31)&gt;$F31,N($Z31)&gt;=CEILING($F31*(1+MAX($O31,cfg_max_cut)),$S31),N($Z31)&lt;=FLOOR($F31*(1+MIN($N31,cfg_max_raise)),$S31)),N($Z31),MIN(FLOOR($F31*(1+MIN($N31,cfg_max_raise)),$S31),MAX(CEILING($F31*(1+MAX($O31,cfg_max_cut)),$S31),MROUND($R31,$S31))))),IF(SIGN(MIN(FLOOR($F31*(1+MIN($N31,cfg_max_raise)),$S31),MAX(CEILING($F31*(1+MAX($O31,cfg_max_cut)),$S31),MROUND($R31,$S31)))-$F31)&lt;0,IF(AND(N($Z31)&lt;=$F31,N($Z31)&gt;=CEILING($F31*(1+MAX($O31,cfg_max_cut)),$S31),N($Z31)&lt;=FLOOR($F31*(1+MIN($N31,cfg_max_raise)),$S31)),N($Z31),IF(AND(N($Y31)&lt;$F31,N($Y31)&gt;=CEILING($F31*(1+MAX($O31,cfg_max_cut)),$S31),N($Y31)&lt;=FLOOR($F31*(1+MIN($N31,cfg_max_raise)),$S31)),N($Y31),MIN(FLOOR($F31*(1+MIN($N31,cfg_max_raise)),$S31),MAX(CEILING($F31*(1+MAX($O31,cfg_max_cut)),$S31),MROUND($R31,$S31))))),IF(ABS(N($Y31)-$F31)&lt;=ABS(N($Z31)-$F31),IF(AND(N($Y31)&gt;=CEILING($F31*(1+MAX($O31,cfg_max_cut)),$S31),N($Y31)&lt;=FLOOR($F31*(1+MIN($N31,cfg_max_raise)),$S31)),N($Y31),MIN(FLOOR($F31*(1+MIN($N31,cfg_max_raise)),$S31),MAX(CEILING($F31*(1+MAX($O31,cfg_max_cut)),$S31),MROUND($R31,$S31)))),IF(AND(N($Z31)&gt;=CEILING($F31*(1+MAX($O31,cfg_max_cut)),$S31),N($Z31)&lt;=FLOOR($F31*(1+MIN($N31,cfg_max_raise)),$S31)),N($Z31),MIN(FLOOR($F31*(1+MIN($N31,cfg_max_raise)),$S31),MAX(CEILING($F31*(1+MAX($O31,cfg_max_cut)),$S31),MROUND($R31,$S31)))))))))</f>
        <v/>
      </c>
      <c r="U31" s="73" t="str">
        <f aca="false">IF($B31="","",IFERROR($T31/$F31-1,0))</f>
        <v/>
      </c>
      <c r="V31" s="68" t="str">
        <f aca="false">IF($B31="","",$G31*($T31/$F31)^$H31)</f>
        <v/>
      </c>
      <c r="W31" s="75" t="str">
        <f aca="false">IF($B31="","",($T31-$E31)*$V31-($F31-$E31)*$G31)</f>
        <v/>
      </c>
      <c r="X31" s="75" t="str">
        <f aca="false">IF($B31="","",$W31*30)</f>
        <v/>
      </c>
      <c r="Y31" s="28" t="str">
        <f aca="false">IF($B31="","",IF(AND(cfg_round_to&lt;=0.5,IFERROR(VALUE(cfg_ending),0)&gt;0),CEILING($R31-VALUE(cfg_ending),1)+VALUE(cfg_ending),""))</f>
        <v/>
      </c>
      <c r="Z31" s="28" t="str">
        <f aca="false">IF($B31="","",IF(AND(cfg_round_to&lt;=0.5,IFERROR(VALUE(cfg_ending),0)&gt;0),FLOOR($R31-VALUE(cfg_ending),1)+VALUE(cfg_ending),""))</f>
        <v/>
      </c>
      <c r="AA31" s="28" t="str">
        <f aca="false">IF($B31="","",IF(AND(cfg_round_to&lt;=0.5,IFERROR(VALUE(cfg_ending),0)&gt;0),VALUE(cfg_ending),0))</f>
        <v/>
      </c>
    </row>
    <row r="32" customFormat="false" ht="15" hidden="false" customHeight="true" outlineLevel="0" collapsed="false">
      <c r="A32" s="15" t="n">
        <v>27</v>
      </c>
      <c r="B32" s="41" t="str">
        <f aca="false">IF(OWNER_INPUTS!B32="","",OWNER_INPUTS!B32)</f>
        <v/>
      </c>
      <c r="C32" s="41" t="str">
        <f aca="false">IF($B32="","",OWNER_INPUTS!C32)</f>
        <v/>
      </c>
      <c r="D32" s="41" t="str">
        <f aca="false">IF($B32="","",OWNER_INPUTS!D32)</f>
        <v/>
      </c>
      <c r="E32" s="42" t="str">
        <f aca="false">IF($B32="","",OWNER_INPUTS!E32)</f>
        <v/>
      </c>
      <c r="F32" s="42" t="str">
        <f aca="false">IF($B32="","",OWNER_INPUTS!F32)</f>
        <v/>
      </c>
      <c r="G32" s="68" t="str">
        <f aca="false">IF($B32="","",OWNER_INPUTS!G32/30)</f>
        <v/>
      </c>
      <c r="H32" s="67" t="str">
        <f aca="false">IF($B32="","",IFERROR(  IF(ISNUMBER(INDEX(cal_estimate,MATCH($B32,cal_items,0))),    INDEX(cal_estimate,MATCH($B32,cal_items,0)),    IFERROR(VLOOKUP($C32,tbl_priors,2,FALSE()),      VLOOKUP("Other",tbl_priors,2,FALSE()))),  IFERROR(VLOOKUP($C32,tbl_priors,2,FALSE()),    VLOOKUP("Other",tbl_priors,2,FALSE()))))</f>
        <v/>
      </c>
      <c r="I32" s="45" t="str">
        <f aca="false">IF($B32="","",IF(IFERROR(ISNUMBER(INDEX(cal_estimate,MATCH($B32,cal_items,0))),FALSE()),"Estimated","Prior"))</f>
        <v/>
      </c>
      <c r="J32" s="45" t="str">
        <f aca="false">IF($B32="","",IF($I32="Estimated",  IFERROR(INDEX(cal_conf,MATCH($B32,cal_items,0)),"LOW"),"LOW"))</f>
        <v/>
      </c>
      <c r="K32" s="67" t="str">
        <f aca="false">IF($B32="","",IF($H32&lt;-1,$E32*$H32/($H32+1),"test"))</f>
        <v/>
      </c>
      <c r="L32" s="73" t="str">
        <f aca="false">IF($B32="","",IF($J32="HIGH",cfg_shr_high,IF($J32="MEDIUM",cfg_shr_med,cfg_shr_low)))</f>
        <v/>
      </c>
      <c r="M32" s="67" t="str">
        <f aca="false">IF($B32="","",IF($K32="test",  $F32*(1+IFERROR(VLOOKUP($D32,tbl_roles,4,FALSE()),    VLOOKUP("Other",tbl_roles,4,FALSE()))),  $F32+$L32*($K32-$F32)))</f>
        <v/>
      </c>
      <c r="N32" s="73" t="str">
        <f aca="false">IF($B32="","",IFERROR(VLOOKUP($D32,tbl_roles,2,FALSE()),VLOOKUP("Other",tbl_roles,2,FALSE())))</f>
        <v/>
      </c>
      <c r="O32" s="73" t="str">
        <f aca="false">IF($B32="","",IFERROR(VLOOKUP($D32,tbl_roles,3,FALSE()),VLOOKUP("Other",tbl_roles,3,FALSE())))</f>
        <v/>
      </c>
      <c r="P32" s="67" t="str">
        <f aca="false">IF($B32="","",MIN($F32*(1+$N32),MAX($F32*(1+$O32),$M32)))</f>
        <v/>
      </c>
      <c r="Q32" s="67" t="str">
        <f aca="false">IF($B32="","",MIN($F32*(1+cfg_max_raise),MAX($F32*(1+cfg_max_cut),$P32)))</f>
        <v/>
      </c>
      <c r="R32" s="67" t="str">
        <f aca="false">IF($B32="","",IF(cfg_currency="IDR",IF($B32="","",IFERROR(IF(AND($Q32&gt;INDEX(tbl_thr_idr,MATCH($Q32,INDEX(tbl_thr_idr,0,1),1),1),$Q32&lt;=INDEX(tbl_thr_idr,MATCH($Q32,INDEX(tbl_thr_idr,0,1),1),1)+INDEX(tbl_thr_idr,MATCH($Q32,INDEX(tbl_thr_idr,0,1),1),2)),FLOOR(INDEX(tbl_thr_idr,MATCH($Q32,INDEX(tbl_thr_idr,0,1),1),1)-1,cfg_round_to),$Q32),$Q32)),IF($B32="","",IFERROR(IF(AND($Q32&gt;INDEX(tbl_thr_usd,MATCH($Q32,INDEX(tbl_thr_usd,0,1),1),1),$Q32&lt;=INDEX(tbl_thr_usd,MATCH($Q32,INDEX(tbl_thr_usd,0,1),1),1)+INDEX(tbl_thr_usd,MATCH($Q32,INDEX(tbl_thr_usd,0,1),1),2)),FLOOR(INDEX(tbl_thr_usd,MATCH($Q32,INDEX(tbl_thr_usd,0,1),1),1)-0.01,cfg_round_to),$Q32),$Q32))))</f>
        <v/>
      </c>
      <c r="S32" s="67" t="str">
        <f aca="false">IF($B32="","",cfg_round_to)</f>
        <v/>
      </c>
      <c r="T32" s="74" t="str">
        <f aca="false">IF($B32="","",IF(N($AA32)=0,MIN(FLOOR($F32*(1+MIN($N32,cfg_max_raise)),$S32),MAX(CEILING($F32*(1+MAX($O32,cfg_max_cut)),$S32),MROUND($R32,$S32))),IF(SIGN(MIN(FLOOR($F32*(1+MIN($N32,cfg_max_raise)),$S32),MAX(CEILING($F32*(1+MAX($O32,cfg_max_cut)),$S32),MROUND($R32,$S32)))-$F32)&gt;0,IF(AND(N($Y32)&gt;=$F32,N($Y32)&gt;=CEILING($F32*(1+MAX($O32,cfg_max_cut)),$S32),N($Y32)&lt;=FLOOR($F32*(1+MIN($N32,cfg_max_raise)),$S32)),N($Y32),IF(AND(N($Z32)&gt;$F32,N($Z32)&gt;=CEILING($F32*(1+MAX($O32,cfg_max_cut)),$S32),N($Z32)&lt;=FLOOR($F32*(1+MIN($N32,cfg_max_raise)),$S32)),N($Z32),MIN(FLOOR($F32*(1+MIN($N32,cfg_max_raise)),$S32),MAX(CEILING($F32*(1+MAX($O32,cfg_max_cut)),$S32),MROUND($R32,$S32))))),IF(SIGN(MIN(FLOOR($F32*(1+MIN($N32,cfg_max_raise)),$S32),MAX(CEILING($F32*(1+MAX($O32,cfg_max_cut)),$S32),MROUND($R32,$S32)))-$F32)&lt;0,IF(AND(N($Z32)&lt;=$F32,N($Z32)&gt;=CEILING($F32*(1+MAX($O32,cfg_max_cut)),$S32),N($Z32)&lt;=FLOOR($F32*(1+MIN($N32,cfg_max_raise)),$S32)),N($Z32),IF(AND(N($Y32)&lt;$F32,N($Y32)&gt;=CEILING($F32*(1+MAX($O32,cfg_max_cut)),$S32),N($Y32)&lt;=FLOOR($F32*(1+MIN($N32,cfg_max_raise)),$S32)),N($Y32),MIN(FLOOR($F32*(1+MIN($N32,cfg_max_raise)),$S32),MAX(CEILING($F32*(1+MAX($O32,cfg_max_cut)),$S32),MROUND($R32,$S32))))),IF(ABS(N($Y32)-$F32)&lt;=ABS(N($Z32)-$F32),IF(AND(N($Y32)&gt;=CEILING($F32*(1+MAX($O32,cfg_max_cut)),$S32),N($Y32)&lt;=FLOOR($F32*(1+MIN($N32,cfg_max_raise)),$S32)),N($Y32),MIN(FLOOR($F32*(1+MIN($N32,cfg_max_raise)),$S32),MAX(CEILING($F32*(1+MAX($O32,cfg_max_cut)),$S32),MROUND($R32,$S32)))),IF(AND(N($Z32)&gt;=CEILING($F32*(1+MAX($O32,cfg_max_cut)),$S32),N($Z32)&lt;=FLOOR($F32*(1+MIN($N32,cfg_max_raise)),$S32)),N($Z32),MIN(FLOOR($F32*(1+MIN($N32,cfg_max_raise)),$S32),MAX(CEILING($F32*(1+MAX($O32,cfg_max_cut)),$S32),MROUND($R32,$S32)))))))))</f>
        <v/>
      </c>
      <c r="U32" s="73" t="str">
        <f aca="false">IF($B32="","",IFERROR($T32/$F32-1,0))</f>
        <v/>
      </c>
      <c r="V32" s="68" t="str">
        <f aca="false">IF($B32="","",$G32*($T32/$F32)^$H32)</f>
        <v/>
      </c>
      <c r="W32" s="75" t="str">
        <f aca="false">IF($B32="","",($T32-$E32)*$V32-($F32-$E32)*$G32)</f>
        <v/>
      </c>
      <c r="X32" s="75" t="str">
        <f aca="false">IF($B32="","",$W32*30)</f>
        <v/>
      </c>
      <c r="Y32" s="28" t="str">
        <f aca="false">IF($B32="","",IF(AND(cfg_round_to&lt;=0.5,IFERROR(VALUE(cfg_ending),0)&gt;0),CEILING($R32-VALUE(cfg_ending),1)+VALUE(cfg_ending),""))</f>
        <v/>
      </c>
      <c r="Z32" s="28" t="str">
        <f aca="false">IF($B32="","",IF(AND(cfg_round_to&lt;=0.5,IFERROR(VALUE(cfg_ending),0)&gt;0),FLOOR($R32-VALUE(cfg_ending),1)+VALUE(cfg_ending),""))</f>
        <v/>
      </c>
      <c r="AA32" s="28" t="str">
        <f aca="false">IF($B32="","",IF(AND(cfg_round_to&lt;=0.5,IFERROR(VALUE(cfg_ending),0)&gt;0),VALUE(cfg_ending),0))</f>
        <v/>
      </c>
    </row>
    <row r="33" customFormat="false" ht="15" hidden="false" customHeight="true" outlineLevel="0" collapsed="false">
      <c r="A33" s="15" t="n">
        <v>28</v>
      </c>
      <c r="B33" s="41" t="str">
        <f aca="false">IF(OWNER_INPUTS!B33="","",OWNER_INPUTS!B33)</f>
        <v/>
      </c>
      <c r="C33" s="41" t="str">
        <f aca="false">IF($B33="","",OWNER_INPUTS!C33)</f>
        <v/>
      </c>
      <c r="D33" s="41" t="str">
        <f aca="false">IF($B33="","",OWNER_INPUTS!D33)</f>
        <v/>
      </c>
      <c r="E33" s="42" t="str">
        <f aca="false">IF($B33="","",OWNER_INPUTS!E33)</f>
        <v/>
      </c>
      <c r="F33" s="42" t="str">
        <f aca="false">IF($B33="","",OWNER_INPUTS!F33)</f>
        <v/>
      </c>
      <c r="G33" s="68" t="str">
        <f aca="false">IF($B33="","",OWNER_INPUTS!G33/30)</f>
        <v/>
      </c>
      <c r="H33" s="67" t="str">
        <f aca="false">IF($B33="","",IFERROR(  IF(ISNUMBER(INDEX(cal_estimate,MATCH($B33,cal_items,0))),    INDEX(cal_estimate,MATCH($B33,cal_items,0)),    IFERROR(VLOOKUP($C33,tbl_priors,2,FALSE()),      VLOOKUP("Other",tbl_priors,2,FALSE()))),  IFERROR(VLOOKUP($C33,tbl_priors,2,FALSE()),    VLOOKUP("Other",tbl_priors,2,FALSE()))))</f>
        <v/>
      </c>
      <c r="I33" s="45" t="str">
        <f aca="false">IF($B33="","",IF(IFERROR(ISNUMBER(INDEX(cal_estimate,MATCH($B33,cal_items,0))),FALSE()),"Estimated","Prior"))</f>
        <v/>
      </c>
      <c r="J33" s="45" t="str">
        <f aca="false">IF($B33="","",IF($I33="Estimated",  IFERROR(INDEX(cal_conf,MATCH($B33,cal_items,0)),"LOW"),"LOW"))</f>
        <v/>
      </c>
      <c r="K33" s="67" t="str">
        <f aca="false">IF($B33="","",IF($H33&lt;-1,$E33*$H33/($H33+1),"test"))</f>
        <v/>
      </c>
      <c r="L33" s="73" t="str">
        <f aca="false">IF($B33="","",IF($J33="HIGH",cfg_shr_high,IF($J33="MEDIUM",cfg_shr_med,cfg_shr_low)))</f>
        <v/>
      </c>
      <c r="M33" s="67" t="str">
        <f aca="false">IF($B33="","",IF($K33="test",  $F33*(1+IFERROR(VLOOKUP($D33,tbl_roles,4,FALSE()),    VLOOKUP("Other",tbl_roles,4,FALSE()))),  $F33+$L33*($K33-$F33)))</f>
        <v/>
      </c>
      <c r="N33" s="73" t="str">
        <f aca="false">IF($B33="","",IFERROR(VLOOKUP($D33,tbl_roles,2,FALSE()),VLOOKUP("Other",tbl_roles,2,FALSE())))</f>
        <v/>
      </c>
      <c r="O33" s="73" t="str">
        <f aca="false">IF($B33="","",IFERROR(VLOOKUP($D33,tbl_roles,3,FALSE()),VLOOKUP("Other",tbl_roles,3,FALSE())))</f>
        <v/>
      </c>
      <c r="P33" s="67" t="str">
        <f aca="false">IF($B33="","",MIN($F33*(1+$N33),MAX($F33*(1+$O33),$M33)))</f>
        <v/>
      </c>
      <c r="Q33" s="67" t="str">
        <f aca="false">IF($B33="","",MIN($F33*(1+cfg_max_raise),MAX($F33*(1+cfg_max_cut),$P33)))</f>
        <v/>
      </c>
      <c r="R33" s="67" t="str">
        <f aca="false">IF($B33="","",IF(cfg_currency="IDR",IF($B33="","",IFERROR(IF(AND($Q33&gt;INDEX(tbl_thr_idr,MATCH($Q33,INDEX(tbl_thr_idr,0,1),1),1),$Q33&lt;=INDEX(tbl_thr_idr,MATCH($Q33,INDEX(tbl_thr_idr,0,1),1),1)+INDEX(tbl_thr_idr,MATCH($Q33,INDEX(tbl_thr_idr,0,1),1),2)),FLOOR(INDEX(tbl_thr_idr,MATCH($Q33,INDEX(tbl_thr_idr,0,1),1),1)-1,cfg_round_to),$Q33),$Q33)),IF($B33="","",IFERROR(IF(AND($Q33&gt;INDEX(tbl_thr_usd,MATCH($Q33,INDEX(tbl_thr_usd,0,1),1),1),$Q33&lt;=INDEX(tbl_thr_usd,MATCH($Q33,INDEX(tbl_thr_usd,0,1),1),1)+INDEX(tbl_thr_usd,MATCH($Q33,INDEX(tbl_thr_usd,0,1),1),2)),FLOOR(INDEX(tbl_thr_usd,MATCH($Q33,INDEX(tbl_thr_usd,0,1),1),1)-0.01,cfg_round_to),$Q33),$Q33))))</f>
        <v/>
      </c>
      <c r="S33" s="67" t="str">
        <f aca="false">IF($B33="","",cfg_round_to)</f>
        <v/>
      </c>
      <c r="T33" s="74" t="str">
        <f aca="false">IF($B33="","",IF(N($AA33)=0,MIN(FLOOR($F33*(1+MIN($N33,cfg_max_raise)),$S33),MAX(CEILING($F33*(1+MAX($O33,cfg_max_cut)),$S33),MROUND($R33,$S33))),IF(SIGN(MIN(FLOOR($F33*(1+MIN($N33,cfg_max_raise)),$S33),MAX(CEILING($F33*(1+MAX($O33,cfg_max_cut)),$S33),MROUND($R33,$S33)))-$F33)&gt;0,IF(AND(N($Y33)&gt;=$F33,N($Y33)&gt;=CEILING($F33*(1+MAX($O33,cfg_max_cut)),$S33),N($Y33)&lt;=FLOOR($F33*(1+MIN($N33,cfg_max_raise)),$S33)),N($Y33),IF(AND(N($Z33)&gt;$F33,N($Z33)&gt;=CEILING($F33*(1+MAX($O33,cfg_max_cut)),$S33),N($Z33)&lt;=FLOOR($F33*(1+MIN($N33,cfg_max_raise)),$S33)),N($Z33),MIN(FLOOR($F33*(1+MIN($N33,cfg_max_raise)),$S33),MAX(CEILING($F33*(1+MAX($O33,cfg_max_cut)),$S33),MROUND($R33,$S33))))),IF(SIGN(MIN(FLOOR($F33*(1+MIN($N33,cfg_max_raise)),$S33),MAX(CEILING($F33*(1+MAX($O33,cfg_max_cut)),$S33),MROUND($R33,$S33)))-$F33)&lt;0,IF(AND(N($Z33)&lt;=$F33,N($Z33)&gt;=CEILING($F33*(1+MAX($O33,cfg_max_cut)),$S33),N($Z33)&lt;=FLOOR($F33*(1+MIN($N33,cfg_max_raise)),$S33)),N($Z33),IF(AND(N($Y33)&lt;$F33,N($Y33)&gt;=CEILING($F33*(1+MAX($O33,cfg_max_cut)),$S33),N($Y33)&lt;=FLOOR($F33*(1+MIN($N33,cfg_max_raise)),$S33)),N($Y33),MIN(FLOOR($F33*(1+MIN($N33,cfg_max_raise)),$S33),MAX(CEILING($F33*(1+MAX($O33,cfg_max_cut)),$S33),MROUND($R33,$S33))))),IF(ABS(N($Y33)-$F33)&lt;=ABS(N($Z33)-$F33),IF(AND(N($Y33)&gt;=CEILING($F33*(1+MAX($O33,cfg_max_cut)),$S33),N($Y33)&lt;=FLOOR($F33*(1+MIN($N33,cfg_max_raise)),$S33)),N($Y33),MIN(FLOOR($F33*(1+MIN($N33,cfg_max_raise)),$S33),MAX(CEILING($F33*(1+MAX($O33,cfg_max_cut)),$S33),MROUND($R33,$S33)))),IF(AND(N($Z33)&gt;=CEILING($F33*(1+MAX($O33,cfg_max_cut)),$S33),N($Z33)&lt;=FLOOR($F33*(1+MIN($N33,cfg_max_raise)),$S33)),N($Z33),MIN(FLOOR($F33*(1+MIN($N33,cfg_max_raise)),$S33),MAX(CEILING($F33*(1+MAX($O33,cfg_max_cut)),$S33),MROUND($R33,$S33)))))))))</f>
        <v/>
      </c>
      <c r="U33" s="73" t="str">
        <f aca="false">IF($B33="","",IFERROR($T33/$F33-1,0))</f>
        <v/>
      </c>
      <c r="V33" s="68" t="str">
        <f aca="false">IF($B33="","",$G33*($T33/$F33)^$H33)</f>
        <v/>
      </c>
      <c r="W33" s="75" t="str">
        <f aca="false">IF($B33="","",($T33-$E33)*$V33-($F33-$E33)*$G33)</f>
        <v/>
      </c>
      <c r="X33" s="75" t="str">
        <f aca="false">IF($B33="","",$W33*30)</f>
        <v/>
      </c>
      <c r="Y33" s="28" t="str">
        <f aca="false">IF($B33="","",IF(AND(cfg_round_to&lt;=0.5,IFERROR(VALUE(cfg_ending),0)&gt;0),CEILING($R33-VALUE(cfg_ending),1)+VALUE(cfg_ending),""))</f>
        <v/>
      </c>
      <c r="Z33" s="28" t="str">
        <f aca="false">IF($B33="","",IF(AND(cfg_round_to&lt;=0.5,IFERROR(VALUE(cfg_ending),0)&gt;0),FLOOR($R33-VALUE(cfg_ending),1)+VALUE(cfg_ending),""))</f>
        <v/>
      </c>
      <c r="AA33" s="28" t="str">
        <f aca="false">IF($B33="","",IF(AND(cfg_round_to&lt;=0.5,IFERROR(VALUE(cfg_ending),0)&gt;0),VALUE(cfg_ending),0))</f>
        <v/>
      </c>
    </row>
    <row r="34" customFormat="false" ht="15" hidden="false" customHeight="true" outlineLevel="0" collapsed="false">
      <c r="A34" s="15" t="n">
        <v>29</v>
      </c>
      <c r="B34" s="41" t="str">
        <f aca="false">IF(OWNER_INPUTS!B34="","",OWNER_INPUTS!B34)</f>
        <v/>
      </c>
      <c r="C34" s="41" t="str">
        <f aca="false">IF($B34="","",OWNER_INPUTS!C34)</f>
        <v/>
      </c>
      <c r="D34" s="41" t="str">
        <f aca="false">IF($B34="","",OWNER_INPUTS!D34)</f>
        <v/>
      </c>
      <c r="E34" s="42" t="str">
        <f aca="false">IF($B34="","",OWNER_INPUTS!E34)</f>
        <v/>
      </c>
      <c r="F34" s="42" t="str">
        <f aca="false">IF($B34="","",OWNER_INPUTS!F34)</f>
        <v/>
      </c>
      <c r="G34" s="68" t="str">
        <f aca="false">IF($B34="","",OWNER_INPUTS!G34/30)</f>
        <v/>
      </c>
      <c r="H34" s="67" t="str">
        <f aca="false">IF($B34="","",IFERROR(  IF(ISNUMBER(INDEX(cal_estimate,MATCH($B34,cal_items,0))),    INDEX(cal_estimate,MATCH($B34,cal_items,0)),    IFERROR(VLOOKUP($C34,tbl_priors,2,FALSE()),      VLOOKUP("Other",tbl_priors,2,FALSE()))),  IFERROR(VLOOKUP($C34,tbl_priors,2,FALSE()),    VLOOKUP("Other",tbl_priors,2,FALSE()))))</f>
        <v/>
      </c>
      <c r="I34" s="45" t="str">
        <f aca="false">IF($B34="","",IF(IFERROR(ISNUMBER(INDEX(cal_estimate,MATCH($B34,cal_items,0))),FALSE()),"Estimated","Prior"))</f>
        <v/>
      </c>
      <c r="J34" s="45" t="str">
        <f aca="false">IF($B34="","",IF($I34="Estimated",  IFERROR(INDEX(cal_conf,MATCH($B34,cal_items,0)),"LOW"),"LOW"))</f>
        <v/>
      </c>
      <c r="K34" s="67" t="str">
        <f aca="false">IF($B34="","",IF($H34&lt;-1,$E34*$H34/($H34+1),"test"))</f>
        <v/>
      </c>
      <c r="L34" s="73" t="str">
        <f aca="false">IF($B34="","",IF($J34="HIGH",cfg_shr_high,IF($J34="MEDIUM",cfg_shr_med,cfg_shr_low)))</f>
        <v/>
      </c>
      <c r="M34" s="67" t="str">
        <f aca="false">IF($B34="","",IF($K34="test",  $F34*(1+IFERROR(VLOOKUP($D34,tbl_roles,4,FALSE()),    VLOOKUP("Other",tbl_roles,4,FALSE()))),  $F34+$L34*($K34-$F34)))</f>
        <v/>
      </c>
      <c r="N34" s="73" t="str">
        <f aca="false">IF($B34="","",IFERROR(VLOOKUP($D34,tbl_roles,2,FALSE()),VLOOKUP("Other",tbl_roles,2,FALSE())))</f>
        <v/>
      </c>
      <c r="O34" s="73" t="str">
        <f aca="false">IF($B34="","",IFERROR(VLOOKUP($D34,tbl_roles,3,FALSE()),VLOOKUP("Other",tbl_roles,3,FALSE())))</f>
        <v/>
      </c>
      <c r="P34" s="67" t="str">
        <f aca="false">IF($B34="","",MIN($F34*(1+$N34),MAX($F34*(1+$O34),$M34)))</f>
        <v/>
      </c>
      <c r="Q34" s="67" t="str">
        <f aca="false">IF($B34="","",MIN($F34*(1+cfg_max_raise),MAX($F34*(1+cfg_max_cut),$P34)))</f>
        <v/>
      </c>
      <c r="R34" s="67" t="str">
        <f aca="false">IF($B34="","",IF(cfg_currency="IDR",IF($B34="","",IFERROR(IF(AND($Q34&gt;INDEX(tbl_thr_idr,MATCH($Q34,INDEX(tbl_thr_idr,0,1),1),1),$Q34&lt;=INDEX(tbl_thr_idr,MATCH($Q34,INDEX(tbl_thr_idr,0,1),1),1)+INDEX(tbl_thr_idr,MATCH($Q34,INDEX(tbl_thr_idr,0,1),1),2)),FLOOR(INDEX(tbl_thr_idr,MATCH($Q34,INDEX(tbl_thr_idr,0,1),1),1)-1,cfg_round_to),$Q34),$Q34)),IF($B34="","",IFERROR(IF(AND($Q34&gt;INDEX(tbl_thr_usd,MATCH($Q34,INDEX(tbl_thr_usd,0,1),1),1),$Q34&lt;=INDEX(tbl_thr_usd,MATCH($Q34,INDEX(tbl_thr_usd,0,1),1),1)+INDEX(tbl_thr_usd,MATCH($Q34,INDEX(tbl_thr_usd,0,1),1),2)),FLOOR(INDEX(tbl_thr_usd,MATCH($Q34,INDEX(tbl_thr_usd,0,1),1),1)-0.01,cfg_round_to),$Q34),$Q34))))</f>
        <v/>
      </c>
      <c r="S34" s="67" t="str">
        <f aca="false">IF($B34="","",cfg_round_to)</f>
        <v/>
      </c>
      <c r="T34" s="74" t="str">
        <f aca="false">IF($B34="","",IF(N($AA34)=0,MIN(FLOOR($F34*(1+MIN($N34,cfg_max_raise)),$S34),MAX(CEILING($F34*(1+MAX($O34,cfg_max_cut)),$S34),MROUND($R34,$S34))),IF(SIGN(MIN(FLOOR($F34*(1+MIN($N34,cfg_max_raise)),$S34),MAX(CEILING($F34*(1+MAX($O34,cfg_max_cut)),$S34),MROUND($R34,$S34)))-$F34)&gt;0,IF(AND(N($Y34)&gt;=$F34,N($Y34)&gt;=CEILING($F34*(1+MAX($O34,cfg_max_cut)),$S34),N($Y34)&lt;=FLOOR($F34*(1+MIN($N34,cfg_max_raise)),$S34)),N($Y34),IF(AND(N($Z34)&gt;$F34,N($Z34)&gt;=CEILING($F34*(1+MAX($O34,cfg_max_cut)),$S34),N($Z34)&lt;=FLOOR($F34*(1+MIN($N34,cfg_max_raise)),$S34)),N($Z34),MIN(FLOOR($F34*(1+MIN($N34,cfg_max_raise)),$S34),MAX(CEILING($F34*(1+MAX($O34,cfg_max_cut)),$S34),MROUND($R34,$S34))))),IF(SIGN(MIN(FLOOR($F34*(1+MIN($N34,cfg_max_raise)),$S34),MAX(CEILING($F34*(1+MAX($O34,cfg_max_cut)),$S34),MROUND($R34,$S34)))-$F34)&lt;0,IF(AND(N($Z34)&lt;=$F34,N($Z34)&gt;=CEILING($F34*(1+MAX($O34,cfg_max_cut)),$S34),N($Z34)&lt;=FLOOR($F34*(1+MIN($N34,cfg_max_raise)),$S34)),N($Z34),IF(AND(N($Y34)&lt;$F34,N($Y34)&gt;=CEILING($F34*(1+MAX($O34,cfg_max_cut)),$S34),N($Y34)&lt;=FLOOR($F34*(1+MIN($N34,cfg_max_raise)),$S34)),N($Y34),MIN(FLOOR($F34*(1+MIN($N34,cfg_max_raise)),$S34),MAX(CEILING($F34*(1+MAX($O34,cfg_max_cut)),$S34),MROUND($R34,$S34))))),IF(ABS(N($Y34)-$F34)&lt;=ABS(N($Z34)-$F34),IF(AND(N($Y34)&gt;=CEILING($F34*(1+MAX($O34,cfg_max_cut)),$S34),N($Y34)&lt;=FLOOR($F34*(1+MIN($N34,cfg_max_raise)),$S34)),N($Y34),MIN(FLOOR($F34*(1+MIN($N34,cfg_max_raise)),$S34),MAX(CEILING($F34*(1+MAX($O34,cfg_max_cut)),$S34),MROUND($R34,$S34)))),IF(AND(N($Z34)&gt;=CEILING($F34*(1+MAX($O34,cfg_max_cut)),$S34),N($Z34)&lt;=FLOOR($F34*(1+MIN($N34,cfg_max_raise)),$S34)),N($Z34),MIN(FLOOR($F34*(1+MIN($N34,cfg_max_raise)),$S34),MAX(CEILING($F34*(1+MAX($O34,cfg_max_cut)),$S34),MROUND($R34,$S34)))))))))</f>
        <v/>
      </c>
      <c r="U34" s="73" t="str">
        <f aca="false">IF($B34="","",IFERROR($T34/$F34-1,0))</f>
        <v/>
      </c>
      <c r="V34" s="68" t="str">
        <f aca="false">IF($B34="","",$G34*($T34/$F34)^$H34)</f>
        <v/>
      </c>
      <c r="W34" s="75" t="str">
        <f aca="false">IF($B34="","",($T34-$E34)*$V34-($F34-$E34)*$G34)</f>
        <v/>
      </c>
      <c r="X34" s="75" t="str">
        <f aca="false">IF($B34="","",$W34*30)</f>
        <v/>
      </c>
      <c r="Y34" s="28" t="str">
        <f aca="false">IF($B34="","",IF(AND(cfg_round_to&lt;=0.5,IFERROR(VALUE(cfg_ending),0)&gt;0),CEILING($R34-VALUE(cfg_ending),1)+VALUE(cfg_ending),""))</f>
        <v/>
      </c>
      <c r="Z34" s="28" t="str">
        <f aca="false">IF($B34="","",IF(AND(cfg_round_to&lt;=0.5,IFERROR(VALUE(cfg_ending),0)&gt;0),FLOOR($R34-VALUE(cfg_ending),1)+VALUE(cfg_ending),""))</f>
        <v/>
      </c>
      <c r="AA34" s="28" t="str">
        <f aca="false">IF($B34="","",IF(AND(cfg_round_to&lt;=0.5,IFERROR(VALUE(cfg_ending),0)&gt;0),VALUE(cfg_ending),0))</f>
        <v/>
      </c>
    </row>
    <row r="35" customFormat="false" ht="15" hidden="false" customHeight="true" outlineLevel="0" collapsed="false">
      <c r="A35" s="15" t="n">
        <v>30</v>
      </c>
      <c r="B35" s="41" t="str">
        <f aca="false">IF(OWNER_INPUTS!B35="","",OWNER_INPUTS!B35)</f>
        <v/>
      </c>
      <c r="C35" s="41" t="str">
        <f aca="false">IF($B35="","",OWNER_INPUTS!C35)</f>
        <v/>
      </c>
      <c r="D35" s="41" t="str">
        <f aca="false">IF($B35="","",OWNER_INPUTS!D35)</f>
        <v/>
      </c>
      <c r="E35" s="42" t="str">
        <f aca="false">IF($B35="","",OWNER_INPUTS!E35)</f>
        <v/>
      </c>
      <c r="F35" s="42" t="str">
        <f aca="false">IF($B35="","",OWNER_INPUTS!F35)</f>
        <v/>
      </c>
      <c r="G35" s="68" t="str">
        <f aca="false">IF($B35="","",OWNER_INPUTS!G35/30)</f>
        <v/>
      </c>
      <c r="H35" s="67" t="str">
        <f aca="false">IF($B35="","",IFERROR(  IF(ISNUMBER(INDEX(cal_estimate,MATCH($B35,cal_items,0))),    INDEX(cal_estimate,MATCH($B35,cal_items,0)),    IFERROR(VLOOKUP($C35,tbl_priors,2,FALSE()),      VLOOKUP("Other",tbl_priors,2,FALSE()))),  IFERROR(VLOOKUP($C35,tbl_priors,2,FALSE()),    VLOOKUP("Other",tbl_priors,2,FALSE()))))</f>
        <v/>
      </c>
      <c r="I35" s="45" t="str">
        <f aca="false">IF($B35="","",IF(IFERROR(ISNUMBER(INDEX(cal_estimate,MATCH($B35,cal_items,0))),FALSE()),"Estimated","Prior"))</f>
        <v/>
      </c>
      <c r="J35" s="45" t="str">
        <f aca="false">IF($B35="","",IF($I35="Estimated",  IFERROR(INDEX(cal_conf,MATCH($B35,cal_items,0)),"LOW"),"LOW"))</f>
        <v/>
      </c>
      <c r="K35" s="67" t="str">
        <f aca="false">IF($B35="","",IF($H35&lt;-1,$E35*$H35/($H35+1),"test"))</f>
        <v/>
      </c>
      <c r="L35" s="73" t="str">
        <f aca="false">IF($B35="","",IF($J35="HIGH",cfg_shr_high,IF($J35="MEDIUM",cfg_shr_med,cfg_shr_low)))</f>
        <v/>
      </c>
      <c r="M35" s="67" t="str">
        <f aca="false">IF($B35="","",IF($K35="test",  $F35*(1+IFERROR(VLOOKUP($D35,tbl_roles,4,FALSE()),    VLOOKUP("Other",tbl_roles,4,FALSE()))),  $F35+$L35*($K35-$F35)))</f>
        <v/>
      </c>
      <c r="N35" s="73" t="str">
        <f aca="false">IF($B35="","",IFERROR(VLOOKUP($D35,tbl_roles,2,FALSE()),VLOOKUP("Other",tbl_roles,2,FALSE())))</f>
        <v/>
      </c>
      <c r="O35" s="73" t="str">
        <f aca="false">IF($B35="","",IFERROR(VLOOKUP($D35,tbl_roles,3,FALSE()),VLOOKUP("Other",tbl_roles,3,FALSE())))</f>
        <v/>
      </c>
      <c r="P35" s="67" t="str">
        <f aca="false">IF($B35="","",MIN($F35*(1+$N35),MAX($F35*(1+$O35),$M35)))</f>
        <v/>
      </c>
      <c r="Q35" s="67" t="str">
        <f aca="false">IF($B35="","",MIN($F35*(1+cfg_max_raise),MAX($F35*(1+cfg_max_cut),$P35)))</f>
        <v/>
      </c>
      <c r="R35" s="67" t="str">
        <f aca="false">IF($B35="","",IF(cfg_currency="IDR",IF($B35="","",IFERROR(IF(AND($Q35&gt;INDEX(tbl_thr_idr,MATCH($Q35,INDEX(tbl_thr_idr,0,1),1),1),$Q35&lt;=INDEX(tbl_thr_idr,MATCH($Q35,INDEX(tbl_thr_idr,0,1),1),1)+INDEX(tbl_thr_idr,MATCH($Q35,INDEX(tbl_thr_idr,0,1),1),2)),FLOOR(INDEX(tbl_thr_idr,MATCH($Q35,INDEX(tbl_thr_idr,0,1),1),1)-1,cfg_round_to),$Q35),$Q35)),IF($B35="","",IFERROR(IF(AND($Q35&gt;INDEX(tbl_thr_usd,MATCH($Q35,INDEX(tbl_thr_usd,0,1),1),1),$Q35&lt;=INDEX(tbl_thr_usd,MATCH($Q35,INDEX(tbl_thr_usd,0,1),1),1)+INDEX(tbl_thr_usd,MATCH($Q35,INDEX(tbl_thr_usd,0,1),1),2)),FLOOR(INDEX(tbl_thr_usd,MATCH($Q35,INDEX(tbl_thr_usd,0,1),1),1)-0.01,cfg_round_to),$Q35),$Q35))))</f>
        <v/>
      </c>
      <c r="S35" s="67" t="str">
        <f aca="false">IF($B35="","",cfg_round_to)</f>
        <v/>
      </c>
      <c r="T35" s="74" t="str">
        <f aca="false">IF($B35="","",IF(N($AA35)=0,MIN(FLOOR($F35*(1+MIN($N35,cfg_max_raise)),$S35),MAX(CEILING($F35*(1+MAX($O35,cfg_max_cut)),$S35),MROUND($R35,$S35))),IF(SIGN(MIN(FLOOR($F35*(1+MIN($N35,cfg_max_raise)),$S35),MAX(CEILING($F35*(1+MAX($O35,cfg_max_cut)),$S35),MROUND($R35,$S35)))-$F35)&gt;0,IF(AND(N($Y35)&gt;=$F35,N($Y35)&gt;=CEILING($F35*(1+MAX($O35,cfg_max_cut)),$S35),N($Y35)&lt;=FLOOR($F35*(1+MIN($N35,cfg_max_raise)),$S35)),N($Y35),IF(AND(N($Z35)&gt;$F35,N($Z35)&gt;=CEILING($F35*(1+MAX($O35,cfg_max_cut)),$S35),N($Z35)&lt;=FLOOR($F35*(1+MIN($N35,cfg_max_raise)),$S35)),N($Z35),MIN(FLOOR($F35*(1+MIN($N35,cfg_max_raise)),$S35),MAX(CEILING($F35*(1+MAX($O35,cfg_max_cut)),$S35),MROUND($R35,$S35))))),IF(SIGN(MIN(FLOOR($F35*(1+MIN($N35,cfg_max_raise)),$S35),MAX(CEILING($F35*(1+MAX($O35,cfg_max_cut)),$S35),MROUND($R35,$S35)))-$F35)&lt;0,IF(AND(N($Z35)&lt;=$F35,N($Z35)&gt;=CEILING($F35*(1+MAX($O35,cfg_max_cut)),$S35),N($Z35)&lt;=FLOOR($F35*(1+MIN($N35,cfg_max_raise)),$S35)),N($Z35),IF(AND(N($Y35)&lt;$F35,N($Y35)&gt;=CEILING($F35*(1+MAX($O35,cfg_max_cut)),$S35),N($Y35)&lt;=FLOOR($F35*(1+MIN($N35,cfg_max_raise)),$S35)),N($Y35),MIN(FLOOR($F35*(1+MIN($N35,cfg_max_raise)),$S35),MAX(CEILING($F35*(1+MAX($O35,cfg_max_cut)),$S35),MROUND($R35,$S35))))),IF(ABS(N($Y35)-$F35)&lt;=ABS(N($Z35)-$F35),IF(AND(N($Y35)&gt;=CEILING($F35*(1+MAX($O35,cfg_max_cut)),$S35),N($Y35)&lt;=FLOOR($F35*(1+MIN($N35,cfg_max_raise)),$S35)),N($Y35),MIN(FLOOR($F35*(1+MIN($N35,cfg_max_raise)),$S35),MAX(CEILING($F35*(1+MAX($O35,cfg_max_cut)),$S35),MROUND($R35,$S35)))),IF(AND(N($Z35)&gt;=CEILING($F35*(1+MAX($O35,cfg_max_cut)),$S35),N($Z35)&lt;=FLOOR($F35*(1+MIN($N35,cfg_max_raise)),$S35)),N($Z35),MIN(FLOOR($F35*(1+MIN($N35,cfg_max_raise)),$S35),MAX(CEILING($F35*(1+MAX($O35,cfg_max_cut)),$S35),MROUND($R35,$S35)))))))))</f>
        <v/>
      </c>
      <c r="U35" s="73" t="str">
        <f aca="false">IF($B35="","",IFERROR($T35/$F35-1,0))</f>
        <v/>
      </c>
      <c r="V35" s="68" t="str">
        <f aca="false">IF($B35="","",$G35*($T35/$F35)^$H35)</f>
        <v/>
      </c>
      <c r="W35" s="75" t="str">
        <f aca="false">IF($B35="","",($T35-$E35)*$V35-($F35-$E35)*$G35)</f>
        <v/>
      </c>
      <c r="X35" s="75" t="str">
        <f aca="false">IF($B35="","",$W35*30)</f>
        <v/>
      </c>
      <c r="Y35" s="28" t="str">
        <f aca="false">IF($B35="","",IF(AND(cfg_round_to&lt;=0.5,IFERROR(VALUE(cfg_ending),0)&gt;0),CEILING($R35-VALUE(cfg_ending),1)+VALUE(cfg_ending),""))</f>
        <v/>
      </c>
      <c r="Z35" s="28" t="str">
        <f aca="false">IF($B35="","",IF(AND(cfg_round_to&lt;=0.5,IFERROR(VALUE(cfg_ending),0)&gt;0),FLOOR($R35-VALUE(cfg_ending),1)+VALUE(cfg_ending),""))</f>
        <v/>
      </c>
      <c r="AA35" s="28" t="str">
        <f aca="false">IF($B35="","",IF(AND(cfg_round_to&lt;=0.5,IFERROR(VALUE(cfg_ending),0)&gt;0),VALUE(cfg_ending),0))</f>
        <v/>
      </c>
    </row>
    <row r="36" customFormat="false" ht="15" hidden="false" customHeight="true" outlineLevel="0" collapsed="false">
      <c r="B36" s="46" t="s">
        <v>290</v>
      </c>
      <c r="W36" s="76" t="n">
        <f aca="false">SUM(W6:W35)</f>
        <v>12.4077348608034</v>
      </c>
      <c r="X36" s="76" t="n">
        <f aca="false">SUM(X6:X35)</f>
        <v>372.232045824101</v>
      </c>
    </row>
    <row r="37" customFormat="false" ht="15" hidden="false" customHeight="true" outlineLevel="0" collapsed="false">
      <c r="B37" s="9" t="s">
        <v>291</v>
      </c>
      <c r="X37" s="77" t="n">
        <f aca="false">SUMPRODUCT((N($F$6:$F$35)-N($E$6:$E$35))*N($G$6:$G$35))*30</f>
        <v>25860</v>
      </c>
    </row>
    <row r="38" customFormat="false" ht="15" hidden="false" customHeight="true" outlineLevel="0" collapsed="false">
      <c r="B38" s="9" t="s">
        <v>292</v>
      </c>
      <c r="X38" s="78" t="n">
        <f aca="false">IFERROR(X36/X37,0)</f>
        <v>0.0143941239684494</v>
      </c>
    </row>
  </sheetData>
  <mergeCells count="2">
    <mergeCell ref="A1:X1"/>
    <mergeCell ref="A3:X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tru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8"/>
    <col collapsed="false" customWidth="true" hidden="false" outlineLevel="0" max="4" min="3" style="1" width="12"/>
    <col collapsed="false" customWidth="true" hidden="false" outlineLevel="0" max="5" min="5" style="1" width="8"/>
    <col collapsed="false" customWidth="true" hidden="false" outlineLevel="0" max="6" min="6" style="1" width="10"/>
    <col collapsed="false" customWidth="true" hidden="false" outlineLevel="0" max="7" min="7" style="1" width="12"/>
    <col collapsed="false" customWidth="true" hidden="false" outlineLevel="0" max="10" min="8" style="1" width="18"/>
    <col collapsed="false" customWidth="true" hidden="false" outlineLevel="0" max="11" min="11" style="1" width="12"/>
  </cols>
  <sheetData>
    <row r="1" customFormat="false" ht="21.75" hidden="false" customHeight="true" outlineLevel="0" collapsed="false">
      <c r="A1" s="22" t="s">
        <v>293</v>
      </c>
    </row>
    <row r="3" customFormat="false" ht="26.25" hidden="false" customHeight="true" outlineLevel="0" collapsed="false">
      <c r="A3" s="23" t="s">
        <v>294</v>
      </c>
      <c r="B3" s="23"/>
      <c r="C3" s="23"/>
      <c r="D3" s="23"/>
      <c r="E3" s="23"/>
      <c r="F3" s="23"/>
      <c r="G3" s="23"/>
      <c r="H3" s="23"/>
      <c r="I3" s="23"/>
      <c r="J3" s="23"/>
      <c r="K3" s="23"/>
    </row>
    <row r="5" customFormat="false" ht="15" hidden="false" customHeight="true" outlineLevel="0" collapsed="false">
      <c r="A5" s="24" t="s">
        <v>295</v>
      </c>
      <c r="B5" s="79" t="n">
        <v>1.2</v>
      </c>
      <c r="C5" s="26" t="s">
        <v>296</v>
      </c>
    </row>
    <row r="6" customFormat="false" ht="15" hidden="false" customHeight="true" outlineLevel="0" collapsed="false">
      <c r="A6" s="24" t="s">
        <v>297</v>
      </c>
      <c r="B6" s="79" t="n">
        <v>1</v>
      </c>
      <c r="C6" s="26" t="s">
        <v>298</v>
      </c>
    </row>
    <row r="7" customFormat="false" ht="15" hidden="false" customHeight="true" outlineLevel="0" collapsed="false">
      <c r="A7" s="24" t="s">
        <v>299</v>
      </c>
      <c r="B7" s="79" t="n">
        <v>0.8</v>
      </c>
      <c r="C7" s="26" t="s">
        <v>300</v>
      </c>
    </row>
    <row r="9" customFormat="false" ht="15" hidden="false" customHeight="true" outlineLevel="0" collapsed="false">
      <c r="A9" s="27" t="s">
        <v>59</v>
      </c>
      <c r="B9" s="27" t="s">
        <v>104</v>
      </c>
      <c r="C9" s="27" t="s">
        <v>105</v>
      </c>
      <c r="D9" s="27" t="s">
        <v>112</v>
      </c>
      <c r="E9" s="27" t="s">
        <v>270</v>
      </c>
      <c r="F9" s="27" t="s">
        <v>271</v>
      </c>
      <c r="G9" s="27" t="s">
        <v>301</v>
      </c>
      <c r="H9" s="27" t="str">
        <f aca="false">CONCATENATE("ΔProfit Conservative (e×",TEXT($B$5,"0.0"),")")</f>
        <v>ΔProfit Conservative (e×1.2)</v>
      </c>
      <c r="I9" s="27" t="str">
        <f aca="false">CONCATENATE("ΔProfit Baseline (e×",TEXT($B$6,"0.0"),")")</f>
        <v>ΔProfit Baseline (e×1.0)</v>
      </c>
      <c r="J9" s="27" t="str">
        <f aca="false">CONCATENATE("ΔProfit Optimistic (e×",TEXT($B$7,"0.0"),")")</f>
        <v>ΔProfit Optimistic (e×0.8)</v>
      </c>
      <c r="K9" s="27" t="s">
        <v>162</v>
      </c>
    </row>
    <row r="10" customFormat="false" ht="15" hidden="false" customHeight="true" outlineLevel="0" collapsed="false">
      <c r="A10" s="1" t="n">
        <v>1</v>
      </c>
      <c r="B10" s="1" t="str">
        <f aca="false">IF(OPTIMIZER!B6="","",OPTIMIZER!B6)</f>
        <v>Flat White</v>
      </c>
      <c r="C10" s="28" t="n">
        <f aca="false">IF($B10="","",OPTIMIZER!F6)</f>
        <v>4.2</v>
      </c>
      <c r="D10" s="28" t="n">
        <f aca="false">IF($B10="","",OPTIMIZER!T6)</f>
        <v>4.3</v>
      </c>
      <c r="E10" s="28" t="n">
        <f aca="false">IF($B10="","",OPTIMIZER!E6)</f>
        <v>1</v>
      </c>
      <c r="F10" s="80" t="n">
        <f aca="false">IF($B10="","",OPTIMIZER!G6)</f>
        <v>50</v>
      </c>
      <c r="G10" s="28" t="n">
        <f aca="false">IF($B10="","",OPTIMIZER!H6)</f>
        <v>-1.1</v>
      </c>
      <c r="H10" s="81" t="n">
        <f aca="false">IF($B10="","",IFERROR(((($D10-$E10)*$F10*($D10/$C10)^($G10*$B$5))-(($C10-$E10)*$F10))*30,0))</f>
        <v>-1.38507011678485</v>
      </c>
      <c r="I10" s="81" t="n">
        <f aca="false">IF($B10="","",IFERROR(((($D10-$E10)*$F10*($D10/$C10)^($G10*$B$6))-(($C10-$E10)*$F10))*30,0))</f>
        <v>23.5203735467366</v>
      </c>
      <c r="J10" s="81" t="n">
        <f aca="false">IF($B10="","",IFERROR(((($D10-$E10)*$F10*($D10/$C10)^($G10*$B$7))-(($C10-$E10)*$F10))*30,0))</f>
        <v>48.5550797439558</v>
      </c>
      <c r="K10" s="1" t="str">
        <f aca="false">IF($B10="","",IF(AND(N($H10)&gt;=0,N($I10)&gt;=0,N($J10)&gt;=0),"Yes","No"))</f>
        <v>No</v>
      </c>
    </row>
    <row r="11" customFormat="false" ht="15" hidden="false" customHeight="true" outlineLevel="0" collapsed="false">
      <c r="A11" s="1" t="n">
        <v>2</v>
      </c>
      <c r="B11" s="1" t="str">
        <f aca="false">IF(OPTIMIZER!B7="","",OPTIMIZER!B7)</f>
        <v>Matcha Latte</v>
      </c>
      <c r="C11" s="28" t="n">
        <f aca="false">IF($B11="","",OPTIMIZER!F7)</f>
        <v>4.8</v>
      </c>
      <c r="D11" s="28" t="n">
        <f aca="false">IF($B11="","",OPTIMIZER!T7)</f>
        <v>4.9</v>
      </c>
      <c r="E11" s="28" t="n">
        <f aca="false">IF($B11="","",OPTIMIZER!E7)</f>
        <v>1.4</v>
      </c>
      <c r="F11" s="80" t="n">
        <f aca="false">IF($B11="","",OPTIMIZER!G7)</f>
        <v>40</v>
      </c>
      <c r="G11" s="28" t="n">
        <f aca="false">IF($B11="","",OPTIMIZER!H7)</f>
        <v>-1.3</v>
      </c>
      <c r="H11" s="81" t="n">
        <f aca="false">IF($B11="","",IFERROR(((($D11-$E11)*$F11*($D11/$C11)^($G11*$B$5))-(($C11-$E11)*$F11))*30,0))</f>
        <v>-12.9479000624485</v>
      </c>
      <c r="I11" s="81" t="n">
        <f aca="false">IF($B11="","",IFERROR(((($D11-$E11)*$F11*($D11/$C11)^($G11*$B$6))-(($C11-$E11)*$F11))*30,0))</f>
        <v>8.91417501210725</v>
      </c>
      <c r="J11" s="81" t="n">
        <f aca="false">IF($B11="","",IFERROR(((($D11-$E11)*$F11*($D11/$C11)^($G11*$B$7))-(($C11-$E11)*$F11))*30,0))</f>
        <v>30.8937677173259</v>
      </c>
      <c r="K11" s="1" t="str">
        <f aca="false">IF($B11="","",IF(AND(N($H11)&gt;=0,N($I11)&gt;=0,N($J11)&gt;=0),"Yes","No"))</f>
        <v>No</v>
      </c>
    </row>
    <row r="12" customFormat="false" ht="15" hidden="false" customHeight="true" outlineLevel="0" collapsed="false">
      <c r="A12" s="1" t="n">
        <v>3</v>
      </c>
      <c r="B12" s="1" t="str">
        <f aca="false">IF(OPTIMIZER!B8="","",OPTIMIZER!B8)</f>
        <v>Eggs Benedict</v>
      </c>
      <c r="C12" s="28" t="n">
        <f aca="false">IF($B12="","",OPTIMIZER!F8)</f>
        <v>9.8</v>
      </c>
      <c r="D12" s="28" t="n">
        <f aca="false">IF($B12="","",OPTIMIZER!T8)</f>
        <v>9.9</v>
      </c>
      <c r="E12" s="28" t="n">
        <f aca="false">IF($B12="","",OPTIMIZER!E8)</f>
        <v>4.2</v>
      </c>
      <c r="F12" s="80" t="n">
        <f aca="false">IF($B12="","",OPTIMIZER!G8)</f>
        <v>30</v>
      </c>
      <c r="G12" s="28" t="n">
        <f aca="false">IF($B12="","",OPTIMIZER!H8)</f>
        <v>-0.8</v>
      </c>
      <c r="H12" s="81" t="n">
        <f aca="false">IF($B12="","",IFERROR(((($D12-$E12)*$F12*($D12/$C12)^($G12*$B$5))-(($C12-$E12)*$F12))*30,0))</f>
        <v>40.2444604948911</v>
      </c>
      <c r="I12" s="81" t="n">
        <f aca="false">IF($B12="","",IFERROR(((($D12-$E12)*$F12*($D12/$C12)^($G12*$B$6))-(($C12-$E12)*$F12))*30,0))</f>
        <v>48.5034111362185</v>
      </c>
      <c r="J12" s="81" t="n">
        <f aca="false">IF($B12="","",IFERROR(((($D12-$E12)*$F12*($D12/$C12)^($G12*$B$7))-(($C12-$E12)*$F12))*30,0))</f>
        <v>56.7757883490873</v>
      </c>
      <c r="K12" s="1" t="str">
        <f aca="false">IF($B12="","",IF(AND(N($H12)&gt;=0,N($I12)&gt;=0,N($J12)&gt;=0),"Yes","No"))</f>
        <v>Yes</v>
      </c>
    </row>
    <row r="13" customFormat="false" ht="15" hidden="false" customHeight="true" outlineLevel="0" collapsed="false">
      <c r="A13" s="1" t="n">
        <v>4</v>
      </c>
      <c r="B13" s="1" t="str">
        <f aca="false">IF(OPTIMIZER!B9="","",OPTIMIZER!B9)</f>
        <v>Avocado Toast</v>
      </c>
      <c r="C13" s="28" t="n">
        <f aca="false">IF($B13="","",OPTIMIZER!F9)</f>
        <v>10.5</v>
      </c>
      <c r="D13" s="28" t="n">
        <f aca="false">IF($B13="","",OPTIMIZER!T9)</f>
        <v>10.7</v>
      </c>
      <c r="E13" s="28" t="n">
        <f aca="false">IF($B13="","",OPTIMIZER!E9)</f>
        <v>4.5</v>
      </c>
      <c r="F13" s="80" t="n">
        <f aca="false">IF($B13="","",OPTIMIZER!G9)</f>
        <v>35</v>
      </c>
      <c r="G13" s="28" t="n">
        <f aca="false">IF($B13="","",OPTIMIZER!H9)</f>
        <v>-0.8</v>
      </c>
      <c r="H13" s="81" t="n">
        <f aca="false">IF($B13="","",IFERROR(((($D13-$E13)*$F13*($D13/$C13)^($G13*$B$5))-(($C13-$E13)*$F13))*30,0))</f>
        <v>93.141091893938</v>
      </c>
      <c r="I13" s="81" t="n">
        <f aca="false">IF($B13="","",IFERROR(((($D13-$E13)*$F13*($D13/$C13)^($G13*$B$6))-(($C13-$E13)*$F13))*30,0))</f>
        <v>112.470876287173</v>
      </c>
      <c r="J13" s="81" t="n">
        <f aca="false">IF($B13="","",IFERROR(((($D13-$E13)*$F13*($D13/$C13)^($G13*$B$7))-(($C13-$E13)*$F13))*30,0))</f>
        <v>131.859104653302</v>
      </c>
      <c r="K13" s="1" t="str">
        <f aca="false">IF($B13="","",IF(AND(N($H13)&gt;=0,N($I13)&gt;=0,N($J13)&gt;=0),"Yes","No"))</f>
        <v>Yes</v>
      </c>
    </row>
    <row r="14" customFormat="false" ht="15" hidden="false" customHeight="true" outlineLevel="0" collapsed="false">
      <c r="A14" s="1" t="n">
        <v>5</v>
      </c>
      <c r="B14" s="1" t="str">
        <f aca="false">IF(OPTIMIZER!B10="","",OPTIMIZER!B10)</f>
        <v>Pancakes</v>
      </c>
      <c r="C14" s="28" t="n">
        <f aca="false">IF($B14="","",OPTIMIZER!F10)</f>
        <v>8.8</v>
      </c>
      <c r="D14" s="28" t="n">
        <f aca="false">IF($B14="","",OPTIMIZER!T10)</f>
        <v>9.2</v>
      </c>
      <c r="E14" s="28" t="n">
        <f aca="false">IF($B14="","",OPTIMIZER!E10)</f>
        <v>3.5</v>
      </c>
      <c r="F14" s="80" t="n">
        <f aca="false">IF($B14="","",OPTIMIZER!G10)</f>
        <v>25</v>
      </c>
      <c r="G14" s="28" t="n">
        <f aca="false">IF($B14="","",OPTIMIZER!H10)</f>
        <v>-0.9</v>
      </c>
      <c r="H14" s="81" t="n">
        <f aca="false">IF($B14="","",IFERROR(((($D14-$E14)*$F14*($D14/$C14)^($G14*$B$5))-(($C14-$E14)*$F14))*30,0))</f>
        <v>99.614735599796</v>
      </c>
      <c r="I14" s="81" t="n">
        <f aca="false">IF($B14="","",IFERROR(((($D14-$E14)*$F14*($D14/$C14)^($G14*$B$6))-(($C14-$E14)*$F14))*30,0))</f>
        <v>132.347800005801</v>
      </c>
      <c r="J14" s="81" t="n">
        <f aca="false">IF($B14="","",IFERROR(((($D14-$E14)*$F14*($D14/$C14)^($G14*$B$7))-(($C14-$E14)*$F14))*30,0))</f>
        <v>165.343822648336</v>
      </c>
      <c r="K14" s="1" t="str">
        <f aca="false">IF($B14="","",IF(AND(N($H14)&gt;=0,N($I14)&gt;=0,N($J14)&gt;=0),"Yes","No"))</f>
        <v>Yes</v>
      </c>
    </row>
    <row r="15" customFormat="false" ht="15" hidden="false" customHeight="true" outlineLevel="0" collapsed="false">
      <c r="A15" s="1" t="n">
        <v>6</v>
      </c>
      <c r="B15" s="1" t="str">
        <f aca="false">IF(OPTIMIZER!B11="","",OPTIMIZER!B11)</f>
        <v>Cheesecake</v>
      </c>
      <c r="C15" s="28" t="n">
        <f aca="false">IF($B15="","",OPTIMIZER!F11)</f>
        <v>5.8</v>
      </c>
      <c r="D15" s="28" t="n">
        <f aca="false">IF($B15="","",OPTIMIZER!T11)</f>
        <v>6.1</v>
      </c>
      <c r="E15" s="28" t="n">
        <f aca="false">IF($B15="","",OPTIMIZER!E11)</f>
        <v>2.1</v>
      </c>
      <c r="F15" s="80" t="n">
        <f aca="false">IF($B15="","",OPTIMIZER!G11)</f>
        <v>15</v>
      </c>
      <c r="G15" s="28" t="n">
        <f aca="false">IF($B15="","",OPTIMIZER!H11)</f>
        <v>-1</v>
      </c>
      <c r="H15" s="81" t="n">
        <f aca="false">IF($B15="","",IFERROR(((($D15-$E15)*$F15*($D15/$C15)^($G15*$B$5))-(($C15-$E15)*$F15))*30,0))</f>
        <v>29.2999396285765</v>
      </c>
      <c r="I15" s="81" t="n">
        <f aca="false">IF($B15="","",IFERROR(((($D15-$E15)*$F15*($D15/$C15)^($G15*$B$6))-(($C15-$E15)*$F15))*30,0))</f>
        <v>46.4754098360654</v>
      </c>
      <c r="J15" s="81" t="n">
        <f aca="false">IF($B15="","",IFERROR(((($D15-$E15)*$F15*($D15/$C15)^($G15*$B$7))-(($C15-$E15)*$F15))*30,0))</f>
        <v>63.8249913505011</v>
      </c>
      <c r="K15" s="1" t="str">
        <f aca="false">IF($B15="","",IF(AND(N($H15)&gt;=0,N($I15)&gt;=0,N($J15)&gt;=0),"Yes","No"))</f>
        <v>Yes</v>
      </c>
    </row>
    <row r="16" customFormat="false" ht="15" hidden="false" customHeight="true" outlineLevel="0" collapsed="false">
      <c r="A16" s="1" t="n">
        <v>7</v>
      </c>
      <c r="B16" s="1" t="str">
        <f aca="false">IF(OPTIMIZER!B12="","",OPTIMIZER!B12)</f>
        <v/>
      </c>
      <c r="C16" s="1" t="str">
        <f aca="false">IF($B16="","",OPTIMIZER!F12)</f>
        <v/>
      </c>
      <c r="D16" s="1" t="str">
        <f aca="false">IF($B16="","",OPTIMIZER!T12)</f>
        <v/>
      </c>
      <c r="E16" s="28" t="str">
        <f aca="false">IF($B16="","",OPTIMIZER!E12)</f>
        <v/>
      </c>
      <c r="F16" s="80" t="str">
        <f aca="false">IF($B16="","",OPTIMIZER!G12)</f>
        <v/>
      </c>
      <c r="G16" s="28" t="str">
        <f aca="false">IF($B16="","",OPTIMIZER!H12)</f>
        <v/>
      </c>
      <c r="H16" s="81" t="str">
        <f aca="false">IF($B16="","",IFERROR(((($D16-$E16)*$F16*($D16/$C16)^($G16*$B$5))-(($C16-$E16)*$F16))*30,0))</f>
        <v/>
      </c>
      <c r="I16" s="81" t="str">
        <f aca="false">IF($B16="","",IFERROR(((($D16-$E16)*$F16*($D16/$C16)^($G16*$B$6))-(($C16-$E16)*$F16))*30,0))</f>
        <v/>
      </c>
      <c r="J16" s="81" t="str">
        <f aca="false">IF($B16="","",IFERROR(((($D16-$E16)*$F16*($D16/$C16)^($G16*$B$7))-(($C16-$E16)*$F16))*30,0))</f>
        <v/>
      </c>
      <c r="K16" s="1" t="str">
        <f aca="false">IF($B16="","",IF(AND(N($H16)&gt;=0,N($I16)&gt;=0,N($J16)&gt;=0),"Yes","No"))</f>
        <v/>
      </c>
    </row>
    <row r="17" customFormat="false" ht="15" hidden="false" customHeight="true" outlineLevel="0" collapsed="false">
      <c r="A17" s="1" t="n">
        <v>8</v>
      </c>
      <c r="B17" s="1" t="str">
        <f aca="false">IF(OPTIMIZER!B13="","",OPTIMIZER!B13)</f>
        <v/>
      </c>
      <c r="C17" s="1" t="str">
        <f aca="false">IF($B17="","",OPTIMIZER!F13)</f>
        <v/>
      </c>
      <c r="D17" s="1" t="str">
        <f aca="false">IF($B17="","",OPTIMIZER!T13)</f>
        <v/>
      </c>
      <c r="E17" s="28" t="str">
        <f aca="false">IF($B17="","",OPTIMIZER!E13)</f>
        <v/>
      </c>
      <c r="F17" s="80" t="str">
        <f aca="false">IF($B17="","",OPTIMIZER!G13)</f>
        <v/>
      </c>
      <c r="G17" s="28" t="str">
        <f aca="false">IF($B17="","",OPTIMIZER!H13)</f>
        <v/>
      </c>
      <c r="H17" s="81" t="str">
        <f aca="false">IF($B17="","",IFERROR(((($D17-$E17)*$F17*($D17/$C17)^($G17*$B$5))-(($C17-$E17)*$F17))*30,0))</f>
        <v/>
      </c>
      <c r="I17" s="81" t="str">
        <f aca="false">IF($B17="","",IFERROR(((($D17-$E17)*$F17*($D17/$C17)^($G17*$B$6))-(($C17-$E17)*$F17))*30,0))</f>
        <v/>
      </c>
      <c r="J17" s="81" t="str">
        <f aca="false">IF($B17="","",IFERROR(((($D17-$E17)*$F17*($D17/$C17)^($G17*$B$7))-(($C17-$E17)*$F17))*30,0))</f>
        <v/>
      </c>
      <c r="K17" s="1" t="str">
        <f aca="false">IF($B17="","",IF(AND(N($H17)&gt;=0,N($I17)&gt;=0,N($J17)&gt;=0),"Yes","No"))</f>
        <v/>
      </c>
    </row>
    <row r="18" customFormat="false" ht="15" hidden="false" customHeight="true" outlineLevel="0" collapsed="false">
      <c r="A18" s="1" t="n">
        <v>9</v>
      </c>
      <c r="B18" s="1" t="str">
        <f aca="false">IF(OPTIMIZER!B14="","",OPTIMIZER!B14)</f>
        <v/>
      </c>
      <c r="C18" s="1" t="str">
        <f aca="false">IF($B18="","",OPTIMIZER!F14)</f>
        <v/>
      </c>
      <c r="D18" s="1" t="str">
        <f aca="false">IF($B18="","",OPTIMIZER!T14)</f>
        <v/>
      </c>
      <c r="E18" s="28" t="str">
        <f aca="false">IF($B18="","",OPTIMIZER!E14)</f>
        <v/>
      </c>
      <c r="F18" s="80" t="str">
        <f aca="false">IF($B18="","",OPTIMIZER!G14)</f>
        <v/>
      </c>
      <c r="G18" s="28" t="str">
        <f aca="false">IF($B18="","",OPTIMIZER!H14)</f>
        <v/>
      </c>
      <c r="H18" s="81" t="str">
        <f aca="false">IF($B18="","",IFERROR(((($D18-$E18)*$F18*($D18/$C18)^($G18*$B$5))-(($C18-$E18)*$F18))*30,0))</f>
        <v/>
      </c>
      <c r="I18" s="81" t="str">
        <f aca="false">IF($B18="","",IFERROR(((($D18-$E18)*$F18*($D18/$C18)^($G18*$B$6))-(($C18-$E18)*$F18))*30,0))</f>
        <v/>
      </c>
      <c r="J18" s="81" t="str">
        <f aca="false">IF($B18="","",IFERROR(((($D18-$E18)*$F18*($D18/$C18)^($G18*$B$7))-(($C18-$E18)*$F18))*30,0))</f>
        <v/>
      </c>
      <c r="K18" s="1" t="str">
        <f aca="false">IF($B18="","",IF(AND(N($H18)&gt;=0,N($I18)&gt;=0,N($J18)&gt;=0),"Yes","No"))</f>
        <v/>
      </c>
    </row>
    <row r="19" customFormat="false" ht="15" hidden="false" customHeight="true" outlineLevel="0" collapsed="false">
      <c r="A19" s="1" t="n">
        <v>10</v>
      </c>
      <c r="B19" s="1" t="str">
        <f aca="false">IF(OPTIMIZER!B15="","",OPTIMIZER!B15)</f>
        <v/>
      </c>
      <c r="C19" s="1" t="str">
        <f aca="false">IF($B19="","",OPTIMIZER!F15)</f>
        <v/>
      </c>
      <c r="D19" s="1" t="str">
        <f aca="false">IF($B19="","",OPTIMIZER!T15)</f>
        <v/>
      </c>
      <c r="E19" s="28" t="str">
        <f aca="false">IF($B19="","",OPTIMIZER!E15)</f>
        <v/>
      </c>
      <c r="F19" s="80" t="str">
        <f aca="false">IF($B19="","",OPTIMIZER!G15)</f>
        <v/>
      </c>
      <c r="G19" s="28" t="str">
        <f aca="false">IF($B19="","",OPTIMIZER!H15)</f>
        <v/>
      </c>
      <c r="H19" s="81" t="str">
        <f aca="false">IF($B19="","",IFERROR(((($D19-$E19)*$F19*($D19/$C19)^($G19*$B$5))-(($C19-$E19)*$F19))*30,0))</f>
        <v/>
      </c>
      <c r="I19" s="81" t="str">
        <f aca="false">IF($B19="","",IFERROR(((($D19-$E19)*$F19*($D19/$C19)^($G19*$B$6))-(($C19-$E19)*$F19))*30,0))</f>
        <v/>
      </c>
      <c r="J19" s="81" t="str">
        <f aca="false">IF($B19="","",IFERROR(((($D19-$E19)*$F19*($D19/$C19)^($G19*$B$7))-(($C19-$E19)*$F19))*30,0))</f>
        <v/>
      </c>
      <c r="K19" s="1" t="str">
        <f aca="false">IF($B19="","",IF(AND(N($H19)&gt;=0,N($I19)&gt;=0,N($J19)&gt;=0),"Yes","No"))</f>
        <v/>
      </c>
    </row>
    <row r="20" customFormat="false" ht="15" hidden="false" customHeight="true" outlineLevel="0" collapsed="false">
      <c r="A20" s="1" t="n">
        <v>11</v>
      </c>
      <c r="B20" s="1" t="str">
        <f aca="false">IF(OPTIMIZER!B16="","",OPTIMIZER!B16)</f>
        <v/>
      </c>
      <c r="C20" s="1" t="str">
        <f aca="false">IF($B20="","",OPTIMIZER!F16)</f>
        <v/>
      </c>
      <c r="D20" s="1" t="str">
        <f aca="false">IF($B20="","",OPTIMIZER!T16)</f>
        <v/>
      </c>
      <c r="E20" s="28" t="str">
        <f aca="false">IF($B20="","",OPTIMIZER!E16)</f>
        <v/>
      </c>
      <c r="F20" s="80" t="str">
        <f aca="false">IF($B20="","",OPTIMIZER!G16)</f>
        <v/>
      </c>
      <c r="G20" s="28" t="str">
        <f aca="false">IF($B20="","",OPTIMIZER!H16)</f>
        <v/>
      </c>
      <c r="H20" s="81" t="str">
        <f aca="false">IF($B20="","",IFERROR(((($D20-$E20)*$F20*($D20/$C20)^($G20*$B$5))-(($C20-$E20)*$F20))*30,0))</f>
        <v/>
      </c>
      <c r="I20" s="81" t="str">
        <f aca="false">IF($B20="","",IFERROR(((($D20-$E20)*$F20*($D20/$C20)^($G20*$B$6))-(($C20-$E20)*$F20))*30,0))</f>
        <v/>
      </c>
      <c r="J20" s="81" t="str">
        <f aca="false">IF($B20="","",IFERROR(((($D20-$E20)*$F20*($D20/$C20)^($G20*$B$7))-(($C20-$E20)*$F20))*30,0))</f>
        <v/>
      </c>
      <c r="K20" s="1" t="str">
        <f aca="false">IF($B20="","",IF(AND(N($H20)&gt;=0,N($I20)&gt;=0,N($J20)&gt;=0),"Yes","No"))</f>
        <v/>
      </c>
    </row>
    <row r="21" customFormat="false" ht="15" hidden="false" customHeight="true" outlineLevel="0" collapsed="false">
      <c r="A21" s="1" t="n">
        <v>12</v>
      </c>
      <c r="B21" s="1" t="str">
        <f aca="false">IF(OPTIMIZER!B17="","",OPTIMIZER!B17)</f>
        <v/>
      </c>
      <c r="C21" s="1" t="str">
        <f aca="false">IF($B21="","",OPTIMIZER!F17)</f>
        <v/>
      </c>
      <c r="D21" s="1" t="str">
        <f aca="false">IF($B21="","",OPTIMIZER!T17)</f>
        <v/>
      </c>
      <c r="E21" s="28" t="str">
        <f aca="false">IF($B21="","",OPTIMIZER!E17)</f>
        <v/>
      </c>
      <c r="F21" s="80" t="str">
        <f aca="false">IF($B21="","",OPTIMIZER!G17)</f>
        <v/>
      </c>
      <c r="G21" s="28" t="str">
        <f aca="false">IF($B21="","",OPTIMIZER!H17)</f>
        <v/>
      </c>
      <c r="H21" s="81" t="str">
        <f aca="false">IF($B21="","",IFERROR(((($D21-$E21)*$F21*($D21/$C21)^($G21*$B$5))-(($C21-$E21)*$F21))*30,0))</f>
        <v/>
      </c>
      <c r="I21" s="81" t="str">
        <f aca="false">IF($B21="","",IFERROR(((($D21-$E21)*$F21*($D21/$C21)^($G21*$B$6))-(($C21-$E21)*$F21))*30,0))</f>
        <v/>
      </c>
      <c r="J21" s="81" t="str">
        <f aca="false">IF($B21="","",IFERROR(((($D21-$E21)*$F21*($D21/$C21)^($G21*$B$7))-(($C21-$E21)*$F21))*30,0))</f>
        <v/>
      </c>
      <c r="K21" s="1" t="str">
        <f aca="false">IF($B21="","",IF(AND(N($H21)&gt;=0,N($I21)&gt;=0,N($J21)&gt;=0),"Yes","No"))</f>
        <v/>
      </c>
    </row>
    <row r="22" customFormat="false" ht="15" hidden="false" customHeight="true" outlineLevel="0" collapsed="false">
      <c r="A22" s="1" t="n">
        <v>13</v>
      </c>
      <c r="B22" s="1" t="str">
        <f aca="false">IF(OPTIMIZER!B18="","",OPTIMIZER!B18)</f>
        <v/>
      </c>
      <c r="C22" s="1" t="str">
        <f aca="false">IF($B22="","",OPTIMIZER!F18)</f>
        <v/>
      </c>
      <c r="D22" s="1" t="str">
        <f aca="false">IF($B22="","",OPTIMIZER!T18)</f>
        <v/>
      </c>
      <c r="E22" s="28" t="str">
        <f aca="false">IF($B22="","",OPTIMIZER!E18)</f>
        <v/>
      </c>
      <c r="F22" s="80" t="str">
        <f aca="false">IF($B22="","",OPTIMIZER!G18)</f>
        <v/>
      </c>
      <c r="G22" s="28" t="str">
        <f aca="false">IF($B22="","",OPTIMIZER!H18)</f>
        <v/>
      </c>
      <c r="H22" s="81" t="str">
        <f aca="false">IF($B22="","",IFERROR(((($D22-$E22)*$F22*($D22/$C22)^($G22*$B$5))-(($C22-$E22)*$F22))*30,0))</f>
        <v/>
      </c>
      <c r="I22" s="81" t="str">
        <f aca="false">IF($B22="","",IFERROR(((($D22-$E22)*$F22*($D22/$C22)^($G22*$B$6))-(($C22-$E22)*$F22))*30,0))</f>
        <v/>
      </c>
      <c r="J22" s="81" t="str">
        <f aca="false">IF($B22="","",IFERROR(((($D22-$E22)*$F22*($D22/$C22)^($G22*$B$7))-(($C22-$E22)*$F22))*30,0))</f>
        <v/>
      </c>
      <c r="K22" s="1" t="str">
        <f aca="false">IF($B22="","",IF(AND(N($H22)&gt;=0,N($I22)&gt;=0,N($J22)&gt;=0),"Yes","No"))</f>
        <v/>
      </c>
    </row>
    <row r="23" customFormat="false" ht="15" hidden="false" customHeight="true" outlineLevel="0" collapsed="false">
      <c r="A23" s="1" t="n">
        <v>14</v>
      </c>
      <c r="B23" s="1" t="str">
        <f aca="false">IF(OPTIMIZER!B19="","",OPTIMIZER!B19)</f>
        <v/>
      </c>
      <c r="C23" s="1" t="str">
        <f aca="false">IF($B23="","",OPTIMIZER!F19)</f>
        <v/>
      </c>
      <c r="D23" s="1" t="str">
        <f aca="false">IF($B23="","",OPTIMIZER!T19)</f>
        <v/>
      </c>
      <c r="E23" s="28" t="str">
        <f aca="false">IF($B23="","",OPTIMIZER!E19)</f>
        <v/>
      </c>
      <c r="F23" s="80" t="str">
        <f aca="false">IF($B23="","",OPTIMIZER!G19)</f>
        <v/>
      </c>
      <c r="G23" s="28" t="str">
        <f aca="false">IF($B23="","",OPTIMIZER!H19)</f>
        <v/>
      </c>
      <c r="H23" s="81" t="str">
        <f aca="false">IF($B23="","",IFERROR(((($D23-$E23)*$F23*($D23/$C23)^($G23*$B$5))-(($C23-$E23)*$F23))*30,0))</f>
        <v/>
      </c>
      <c r="I23" s="81" t="str">
        <f aca="false">IF($B23="","",IFERROR(((($D23-$E23)*$F23*($D23/$C23)^($G23*$B$6))-(($C23-$E23)*$F23))*30,0))</f>
        <v/>
      </c>
      <c r="J23" s="81" t="str">
        <f aca="false">IF($B23="","",IFERROR(((($D23-$E23)*$F23*($D23/$C23)^($G23*$B$7))-(($C23-$E23)*$F23))*30,0))</f>
        <v/>
      </c>
      <c r="K23" s="1" t="str">
        <f aca="false">IF($B23="","",IF(AND(N($H23)&gt;=0,N($I23)&gt;=0,N($J23)&gt;=0),"Yes","No"))</f>
        <v/>
      </c>
    </row>
    <row r="24" customFormat="false" ht="15" hidden="false" customHeight="true" outlineLevel="0" collapsed="false">
      <c r="A24" s="1" t="n">
        <v>15</v>
      </c>
      <c r="B24" s="1" t="str">
        <f aca="false">IF(OPTIMIZER!B20="","",OPTIMIZER!B20)</f>
        <v/>
      </c>
      <c r="C24" s="1" t="str">
        <f aca="false">IF($B24="","",OPTIMIZER!F20)</f>
        <v/>
      </c>
      <c r="D24" s="1" t="str">
        <f aca="false">IF($B24="","",OPTIMIZER!T20)</f>
        <v/>
      </c>
      <c r="E24" s="28" t="str">
        <f aca="false">IF($B24="","",OPTIMIZER!E20)</f>
        <v/>
      </c>
      <c r="F24" s="80" t="str">
        <f aca="false">IF($B24="","",OPTIMIZER!G20)</f>
        <v/>
      </c>
      <c r="G24" s="28" t="str">
        <f aca="false">IF($B24="","",OPTIMIZER!H20)</f>
        <v/>
      </c>
      <c r="H24" s="81" t="str">
        <f aca="false">IF($B24="","",IFERROR(((($D24-$E24)*$F24*($D24/$C24)^($G24*$B$5))-(($C24-$E24)*$F24))*30,0))</f>
        <v/>
      </c>
      <c r="I24" s="81" t="str">
        <f aca="false">IF($B24="","",IFERROR(((($D24-$E24)*$F24*($D24/$C24)^($G24*$B$6))-(($C24-$E24)*$F24))*30,0))</f>
        <v/>
      </c>
      <c r="J24" s="81" t="str">
        <f aca="false">IF($B24="","",IFERROR(((($D24-$E24)*$F24*($D24/$C24)^($G24*$B$7))-(($C24-$E24)*$F24))*30,0))</f>
        <v/>
      </c>
      <c r="K24" s="1" t="str">
        <f aca="false">IF($B24="","",IF(AND(N($H24)&gt;=0,N($I24)&gt;=0,N($J24)&gt;=0),"Yes","No"))</f>
        <v/>
      </c>
    </row>
    <row r="25" customFormat="false" ht="15" hidden="false" customHeight="true" outlineLevel="0" collapsed="false">
      <c r="A25" s="1" t="n">
        <v>16</v>
      </c>
      <c r="B25" s="1" t="str">
        <f aca="false">IF(OPTIMIZER!B21="","",OPTIMIZER!B21)</f>
        <v/>
      </c>
      <c r="C25" s="1" t="str">
        <f aca="false">IF($B25="","",OPTIMIZER!F21)</f>
        <v/>
      </c>
      <c r="D25" s="1" t="str">
        <f aca="false">IF($B25="","",OPTIMIZER!T21)</f>
        <v/>
      </c>
      <c r="E25" s="28" t="str">
        <f aca="false">IF($B25="","",OPTIMIZER!E21)</f>
        <v/>
      </c>
      <c r="F25" s="80" t="str">
        <f aca="false">IF($B25="","",OPTIMIZER!G21)</f>
        <v/>
      </c>
      <c r="G25" s="28" t="str">
        <f aca="false">IF($B25="","",OPTIMIZER!H21)</f>
        <v/>
      </c>
      <c r="H25" s="81" t="str">
        <f aca="false">IF($B25="","",IFERROR(((($D25-$E25)*$F25*($D25/$C25)^($G25*$B$5))-(($C25-$E25)*$F25))*30,0))</f>
        <v/>
      </c>
      <c r="I25" s="81" t="str">
        <f aca="false">IF($B25="","",IFERROR(((($D25-$E25)*$F25*($D25/$C25)^($G25*$B$6))-(($C25-$E25)*$F25))*30,0))</f>
        <v/>
      </c>
      <c r="J25" s="81" t="str">
        <f aca="false">IF($B25="","",IFERROR(((($D25-$E25)*$F25*($D25/$C25)^($G25*$B$7))-(($C25-$E25)*$F25))*30,0))</f>
        <v/>
      </c>
      <c r="K25" s="1" t="str">
        <f aca="false">IF($B25="","",IF(AND(N($H25)&gt;=0,N($I25)&gt;=0,N($J25)&gt;=0),"Yes","No"))</f>
        <v/>
      </c>
    </row>
    <row r="26" customFormat="false" ht="15" hidden="false" customHeight="true" outlineLevel="0" collapsed="false">
      <c r="A26" s="1" t="n">
        <v>17</v>
      </c>
      <c r="B26" s="1" t="str">
        <f aca="false">IF(OPTIMIZER!B22="","",OPTIMIZER!B22)</f>
        <v/>
      </c>
      <c r="C26" s="1" t="str">
        <f aca="false">IF($B26="","",OPTIMIZER!F22)</f>
        <v/>
      </c>
      <c r="D26" s="1" t="str">
        <f aca="false">IF($B26="","",OPTIMIZER!T22)</f>
        <v/>
      </c>
      <c r="E26" s="28" t="str">
        <f aca="false">IF($B26="","",OPTIMIZER!E22)</f>
        <v/>
      </c>
      <c r="F26" s="80" t="str">
        <f aca="false">IF($B26="","",OPTIMIZER!G22)</f>
        <v/>
      </c>
      <c r="G26" s="28" t="str">
        <f aca="false">IF($B26="","",OPTIMIZER!H22)</f>
        <v/>
      </c>
      <c r="H26" s="81" t="str">
        <f aca="false">IF($B26="","",IFERROR(((($D26-$E26)*$F26*($D26/$C26)^($G26*$B$5))-(($C26-$E26)*$F26))*30,0))</f>
        <v/>
      </c>
      <c r="I26" s="81" t="str">
        <f aca="false">IF($B26="","",IFERROR(((($D26-$E26)*$F26*($D26/$C26)^($G26*$B$6))-(($C26-$E26)*$F26))*30,0))</f>
        <v/>
      </c>
      <c r="J26" s="81" t="str">
        <f aca="false">IF($B26="","",IFERROR(((($D26-$E26)*$F26*($D26/$C26)^($G26*$B$7))-(($C26-$E26)*$F26))*30,0))</f>
        <v/>
      </c>
      <c r="K26" s="1" t="str">
        <f aca="false">IF($B26="","",IF(AND(N($H26)&gt;=0,N($I26)&gt;=0,N($J26)&gt;=0),"Yes","No"))</f>
        <v/>
      </c>
    </row>
    <row r="27" customFormat="false" ht="15" hidden="false" customHeight="true" outlineLevel="0" collapsed="false">
      <c r="A27" s="1" t="n">
        <v>18</v>
      </c>
      <c r="B27" s="1" t="str">
        <f aca="false">IF(OPTIMIZER!B23="","",OPTIMIZER!B23)</f>
        <v/>
      </c>
      <c r="C27" s="1" t="str">
        <f aca="false">IF($B27="","",OPTIMIZER!F23)</f>
        <v/>
      </c>
      <c r="D27" s="1" t="str">
        <f aca="false">IF($B27="","",OPTIMIZER!T23)</f>
        <v/>
      </c>
      <c r="E27" s="28" t="str">
        <f aca="false">IF($B27="","",OPTIMIZER!E23)</f>
        <v/>
      </c>
      <c r="F27" s="80" t="str">
        <f aca="false">IF($B27="","",OPTIMIZER!G23)</f>
        <v/>
      </c>
      <c r="G27" s="28" t="str">
        <f aca="false">IF($B27="","",OPTIMIZER!H23)</f>
        <v/>
      </c>
      <c r="H27" s="81" t="str">
        <f aca="false">IF($B27="","",IFERROR(((($D27-$E27)*$F27*($D27/$C27)^($G27*$B$5))-(($C27-$E27)*$F27))*30,0))</f>
        <v/>
      </c>
      <c r="I27" s="81" t="str">
        <f aca="false">IF($B27="","",IFERROR(((($D27-$E27)*$F27*($D27/$C27)^($G27*$B$6))-(($C27-$E27)*$F27))*30,0))</f>
        <v/>
      </c>
      <c r="J27" s="81" t="str">
        <f aca="false">IF($B27="","",IFERROR(((($D27-$E27)*$F27*($D27/$C27)^($G27*$B$7))-(($C27-$E27)*$F27))*30,0))</f>
        <v/>
      </c>
      <c r="K27" s="1" t="str">
        <f aca="false">IF($B27="","",IF(AND(N($H27)&gt;=0,N($I27)&gt;=0,N($J27)&gt;=0),"Yes","No"))</f>
        <v/>
      </c>
    </row>
    <row r="28" customFormat="false" ht="15" hidden="false" customHeight="true" outlineLevel="0" collapsed="false">
      <c r="A28" s="1" t="n">
        <v>19</v>
      </c>
      <c r="B28" s="1" t="str">
        <f aca="false">IF(OPTIMIZER!B24="","",OPTIMIZER!B24)</f>
        <v/>
      </c>
      <c r="C28" s="1" t="str">
        <f aca="false">IF($B28="","",OPTIMIZER!F24)</f>
        <v/>
      </c>
      <c r="D28" s="1" t="str">
        <f aca="false">IF($B28="","",OPTIMIZER!T24)</f>
        <v/>
      </c>
      <c r="E28" s="28" t="str">
        <f aca="false">IF($B28="","",OPTIMIZER!E24)</f>
        <v/>
      </c>
      <c r="F28" s="80" t="str">
        <f aca="false">IF($B28="","",OPTIMIZER!G24)</f>
        <v/>
      </c>
      <c r="G28" s="28" t="str">
        <f aca="false">IF($B28="","",OPTIMIZER!H24)</f>
        <v/>
      </c>
      <c r="H28" s="81" t="str">
        <f aca="false">IF($B28="","",IFERROR(((($D28-$E28)*$F28*($D28/$C28)^($G28*$B$5))-(($C28-$E28)*$F28))*30,0))</f>
        <v/>
      </c>
      <c r="I28" s="81" t="str">
        <f aca="false">IF($B28="","",IFERROR(((($D28-$E28)*$F28*($D28/$C28)^($G28*$B$6))-(($C28-$E28)*$F28))*30,0))</f>
        <v/>
      </c>
      <c r="J28" s="81" t="str">
        <f aca="false">IF($B28="","",IFERROR(((($D28-$E28)*$F28*($D28/$C28)^($G28*$B$7))-(($C28-$E28)*$F28))*30,0))</f>
        <v/>
      </c>
      <c r="K28" s="1" t="str">
        <f aca="false">IF($B28="","",IF(AND(N($H28)&gt;=0,N($I28)&gt;=0,N($J28)&gt;=0),"Yes","No"))</f>
        <v/>
      </c>
    </row>
    <row r="29" customFormat="false" ht="15" hidden="false" customHeight="true" outlineLevel="0" collapsed="false">
      <c r="A29" s="1" t="n">
        <v>20</v>
      </c>
      <c r="B29" s="1" t="str">
        <f aca="false">IF(OPTIMIZER!B25="","",OPTIMIZER!B25)</f>
        <v/>
      </c>
      <c r="C29" s="1" t="str">
        <f aca="false">IF($B29="","",OPTIMIZER!F25)</f>
        <v/>
      </c>
      <c r="D29" s="1" t="str">
        <f aca="false">IF($B29="","",OPTIMIZER!T25)</f>
        <v/>
      </c>
      <c r="E29" s="28" t="str">
        <f aca="false">IF($B29="","",OPTIMIZER!E25)</f>
        <v/>
      </c>
      <c r="F29" s="80" t="str">
        <f aca="false">IF($B29="","",OPTIMIZER!G25)</f>
        <v/>
      </c>
      <c r="G29" s="28" t="str">
        <f aca="false">IF($B29="","",OPTIMIZER!H25)</f>
        <v/>
      </c>
      <c r="H29" s="81" t="str">
        <f aca="false">IF($B29="","",IFERROR(((($D29-$E29)*$F29*($D29/$C29)^($G29*$B$5))-(($C29-$E29)*$F29))*30,0))</f>
        <v/>
      </c>
      <c r="I29" s="81" t="str">
        <f aca="false">IF($B29="","",IFERROR(((($D29-$E29)*$F29*($D29/$C29)^($G29*$B$6))-(($C29-$E29)*$F29))*30,0))</f>
        <v/>
      </c>
      <c r="J29" s="81" t="str">
        <f aca="false">IF($B29="","",IFERROR(((($D29-$E29)*$F29*($D29/$C29)^($G29*$B$7))-(($C29-$E29)*$F29))*30,0))</f>
        <v/>
      </c>
      <c r="K29" s="1" t="str">
        <f aca="false">IF($B29="","",IF(AND(N($H29)&gt;=0,N($I29)&gt;=0,N($J29)&gt;=0),"Yes","No"))</f>
        <v/>
      </c>
    </row>
    <row r="30" customFormat="false" ht="15" hidden="false" customHeight="true" outlineLevel="0" collapsed="false">
      <c r="A30" s="1" t="n">
        <v>21</v>
      </c>
      <c r="B30" s="1" t="str">
        <f aca="false">IF(OPTIMIZER!B26="","",OPTIMIZER!B26)</f>
        <v/>
      </c>
      <c r="C30" s="1" t="str">
        <f aca="false">IF($B30="","",OPTIMIZER!F26)</f>
        <v/>
      </c>
      <c r="D30" s="1" t="str">
        <f aca="false">IF($B30="","",OPTIMIZER!T26)</f>
        <v/>
      </c>
      <c r="E30" s="28" t="str">
        <f aca="false">IF($B30="","",OPTIMIZER!E26)</f>
        <v/>
      </c>
      <c r="F30" s="80" t="str">
        <f aca="false">IF($B30="","",OPTIMIZER!G26)</f>
        <v/>
      </c>
      <c r="G30" s="28" t="str">
        <f aca="false">IF($B30="","",OPTIMIZER!H26)</f>
        <v/>
      </c>
      <c r="H30" s="81" t="str">
        <f aca="false">IF($B30="","",IFERROR(((($D30-$E30)*$F30*($D30/$C30)^($G30*$B$5))-(($C30-$E30)*$F30))*30,0))</f>
        <v/>
      </c>
      <c r="I30" s="81" t="str">
        <f aca="false">IF($B30="","",IFERROR(((($D30-$E30)*$F30*($D30/$C30)^($G30*$B$6))-(($C30-$E30)*$F30))*30,0))</f>
        <v/>
      </c>
      <c r="J30" s="81" t="str">
        <f aca="false">IF($B30="","",IFERROR(((($D30-$E30)*$F30*($D30/$C30)^($G30*$B$7))-(($C30-$E30)*$F30))*30,0))</f>
        <v/>
      </c>
      <c r="K30" s="1" t="str">
        <f aca="false">IF($B30="","",IF(AND(N($H30)&gt;=0,N($I30)&gt;=0,N($J30)&gt;=0),"Yes","No"))</f>
        <v/>
      </c>
    </row>
    <row r="31" customFormat="false" ht="15" hidden="false" customHeight="true" outlineLevel="0" collapsed="false">
      <c r="A31" s="1" t="n">
        <v>22</v>
      </c>
      <c r="B31" s="1" t="str">
        <f aca="false">IF(OPTIMIZER!B27="","",OPTIMIZER!B27)</f>
        <v/>
      </c>
      <c r="C31" s="1" t="str">
        <f aca="false">IF($B31="","",OPTIMIZER!F27)</f>
        <v/>
      </c>
      <c r="D31" s="1" t="str">
        <f aca="false">IF($B31="","",OPTIMIZER!T27)</f>
        <v/>
      </c>
      <c r="E31" s="28" t="str">
        <f aca="false">IF($B31="","",OPTIMIZER!E27)</f>
        <v/>
      </c>
      <c r="F31" s="80" t="str">
        <f aca="false">IF($B31="","",OPTIMIZER!G27)</f>
        <v/>
      </c>
      <c r="G31" s="28" t="str">
        <f aca="false">IF($B31="","",OPTIMIZER!H27)</f>
        <v/>
      </c>
      <c r="H31" s="81" t="str">
        <f aca="false">IF($B31="","",IFERROR(((($D31-$E31)*$F31*($D31/$C31)^($G31*$B$5))-(($C31-$E31)*$F31))*30,0))</f>
        <v/>
      </c>
      <c r="I31" s="81" t="str">
        <f aca="false">IF($B31="","",IFERROR(((($D31-$E31)*$F31*($D31/$C31)^($G31*$B$6))-(($C31-$E31)*$F31))*30,0))</f>
        <v/>
      </c>
      <c r="J31" s="81" t="str">
        <f aca="false">IF($B31="","",IFERROR(((($D31-$E31)*$F31*($D31/$C31)^($G31*$B$7))-(($C31-$E31)*$F31))*30,0))</f>
        <v/>
      </c>
      <c r="K31" s="1" t="str">
        <f aca="false">IF($B31="","",IF(AND(N($H31)&gt;=0,N($I31)&gt;=0,N($J31)&gt;=0),"Yes","No"))</f>
        <v/>
      </c>
    </row>
    <row r="32" customFormat="false" ht="15" hidden="false" customHeight="true" outlineLevel="0" collapsed="false">
      <c r="A32" s="1" t="n">
        <v>23</v>
      </c>
      <c r="B32" s="1" t="str">
        <f aca="false">IF(OPTIMIZER!B28="","",OPTIMIZER!B28)</f>
        <v/>
      </c>
      <c r="C32" s="1" t="str">
        <f aca="false">IF($B32="","",OPTIMIZER!F28)</f>
        <v/>
      </c>
      <c r="D32" s="1" t="str">
        <f aca="false">IF($B32="","",OPTIMIZER!T28)</f>
        <v/>
      </c>
      <c r="E32" s="28" t="str">
        <f aca="false">IF($B32="","",OPTIMIZER!E28)</f>
        <v/>
      </c>
      <c r="F32" s="80" t="str">
        <f aca="false">IF($B32="","",OPTIMIZER!G28)</f>
        <v/>
      </c>
      <c r="G32" s="28" t="str">
        <f aca="false">IF($B32="","",OPTIMIZER!H28)</f>
        <v/>
      </c>
      <c r="H32" s="81" t="str">
        <f aca="false">IF($B32="","",IFERROR(((($D32-$E32)*$F32*($D32/$C32)^($G32*$B$5))-(($C32-$E32)*$F32))*30,0))</f>
        <v/>
      </c>
      <c r="I32" s="81" t="str">
        <f aca="false">IF($B32="","",IFERROR(((($D32-$E32)*$F32*($D32/$C32)^($G32*$B$6))-(($C32-$E32)*$F32))*30,0))</f>
        <v/>
      </c>
      <c r="J32" s="81" t="str">
        <f aca="false">IF($B32="","",IFERROR(((($D32-$E32)*$F32*($D32/$C32)^($G32*$B$7))-(($C32-$E32)*$F32))*30,0))</f>
        <v/>
      </c>
      <c r="K32" s="1" t="str">
        <f aca="false">IF($B32="","",IF(AND(N($H32)&gt;=0,N($I32)&gt;=0,N($J32)&gt;=0),"Yes","No"))</f>
        <v/>
      </c>
    </row>
    <row r="33" customFormat="false" ht="15" hidden="false" customHeight="true" outlineLevel="0" collapsed="false">
      <c r="A33" s="1" t="n">
        <v>24</v>
      </c>
      <c r="B33" s="1" t="str">
        <f aca="false">IF(OPTIMIZER!B29="","",OPTIMIZER!B29)</f>
        <v/>
      </c>
      <c r="C33" s="1" t="str">
        <f aca="false">IF($B33="","",OPTIMIZER!F29)</f>
        <v/>
      </c>
      <c r="D33" s="1" t="str">
        <f aca="false">IF($B33="","",OPTIMIZER!T29)</f>
        <v/>
      </c>
      <c r="E33" s="28" t="str">
        <f aca="false">IF($B33="","",OPTIMIZER!E29)</f>
        <v/>
      </c>
      <c r="F33" s="80" t="str">
        <f aca="false">IF($B33="","",OPTIMIZER!G29)</f>
        <v/>
      </c>
      <c r="G33" s="28" t="str">
        <f aca="false">IF($B33="","",OPTIMIZER!H29)</f>
        <v/>
      </c>
      <c r="H33" s="81" t="str">
        <f aca="false">IF($B33="","",IFERROR(((($D33-$E33)*$F33*($D33/$C33)^($G33*$B$5))-(($C33-$E33)*$F33))*30,0))</f>
        <v/>
      </c>
      <c r="I33" s="81" t="str">
        <f aca="false">IF($B33="","",IFERROR(((($D33-$E33)*$F33*($D33/$C33)^($G33*$B$6))-(($C33-$E33)*$F33))*30,0))</f>
        <v/>
      </c>
      <c r="J33" s="81" t="str">
        <f aca="false">IF($B33="","",IFERROR(((($D33-$E33)*$F33*($D33/$C33)^($G33*$B$7))-(($C33-$E33)*$F33))*30,0))</f>
        <v/>
      </c>
      <c r="K33" s="1" t="str">
        <f aca="false">IF($B33="","",IF(AND(N($H33)&gt;=0,N($I33)&gt;=0,N($J33)&gt;=0),"Yes","No"))</f>
        <v/>
      </c>
    </row>
    <row r="34" customFormat="false" ht="15" hidden="false" customHeight="true" outlineLevel="0" collapsed="false">
      <c r="A34" s="1" t="n">
        <v>25</v>
      </c>
      <c r="B34" s="1" t="str">
        <f aca="false">IF(OPTIMIZER!B30="","",OPTIMIZER!B30)</f>
        <v/>
      </c>
      <c r="C34" s="1" t="str">
        <f aca="false">IF($B34="","",OPTIMIZER!F30)</f>
        <v/>
      </c>
      <c r="D34" s="1" t="str">
        <f aca="false">IF($B34="","",OPTIMIZER!T30)</f>
        <v/>
      </c>
      <c r="E34" s="28" t="str">
        <f aca="false">IF($B34="","",OPTIMIZER!E30)</f>
        <v/>
      </c>
      <c r="F34" s="80" t="str">
        <f aca="false">IF($B34="","",OPTIMIZER!G30)</f>
        <v/>
      </c>
      <c r="G34" s="28" t="str">
        <f aca="false">IF($B34="","",OPTIMIZER!H30)</f>
        <v/>
      </c>
      <c r="H34" s="81" t="str">
        <f aca="false">IF($B34="","",IFERROR(((($D34-$E34)*$F34*($D34/$C34)^($G34*$B$5))-(($C34-$E34)*$F34))*30,0))</f>
        <v/>
      </c>
      <c r="I34" s="81" t="str">
        <f aca="false">IF($B34="","",IFERROR(((($D34-$E34)*$F34*($D34/$C34)^($G34*$B$6))-(($C34-$E34)*$F34))*30,0))</f>
        <v/>
      </c>
      <c r="J34" s="81" t="str">
        <f aca="false">IF($B34="","",IFERROR(((($D34-$E34)*$F34*($D34/$C34)^($G34*$B$7))-(($C34-$E34)*$F34))*30,0))</f>
        <v/>
      </c>
      <c r="K34" s="1" t="str">
        <f aca="false">IF($B34="","",IF(AND(N($H34)&gt;=0,N($I34)&gt;=0,N($J34)&gt;=0),"Yes","No"))</f>
        <v/>
      </c>
    </row>
    <row r="35" customFormat="false" ht="15" hidden="false" customHeight="true" outlineLevel="0" collapsed="false">
      <c r="A35" s="1" t="n">
        <v>26</v>
      </c>
      <c r="B35" s="1" t="str">
        <f aca="false">IF(OPTIMIZER!B31="","",OPTIMIZER!B31)</f>
        <v/>
      </c>
      <c r="C35" s="1" t="str">
        <f aca="false">IF($B35="","",OPTIMIZER!F31)</f>
        <v/>
      </c>
      <c r="D35" s="1" t="str">
        <f aca="false">IF($B35="","",OPTIMIZER!T31)</f>
        <v/>
      </c>
      <c r="E35" s="28" t="str">
        <f aca="false">IF($B35="","",OPTIMIZER!E31)</f>
        <v/>
      </c>
      <c r="F35" s="80" t="str">
        <f aca="false">IF($B35="","",OPTIMIZER!G31)</f>
        <v/>
      </c>
      <c r="G35" s="28" t="str">
        <f aca="false">IF($B35="","",OPTIMIZER!H31)</f>
        <v/>
      </c>
      <c r="H35" s="81" t="str">
        <f aca="false">IF($B35="","",IFERROR(((($D35-$E35)*$F35*($D35/$C35)^($G35*$B$5))-(($C35-$E35)*$F35))*30,0))</f>
        <v/>
      </c>
      <c r="I35" s="81" t="str">
        <f aca="false">IF($B35="","",IFERROR(((($D35-$E35)*$F35*($D35/$C35)^($G35*$B$6))-(($C35-$E35)*$F35))*30,0))</f>
        <v/>
      </c>
      <c r="J35" s="81" t="str">
        <f aca="false">IF($B35="","",IFERROR(((($D35-$E35)*$F35*($D35/$C35)^($G35*$B$7))-(($C35-$E35)*$F35))*30,0))</f>
        <v/>
      </c>
      <c r="K35" s="1" t="str">
        <f aca="false">IF($B35="","",IF(AND(N($H35)&gt;=0,N($I35)&gt;=0,N($J35)&gt;=0),"Yes","No"))</f>
        <v/>
      </c>
    </row>
    <row r="36" customFormat="false" ht="15" hidden="false" customHeight="true" outlineLevel="0" collapsed="false">
      <c r="A36" s="1" t="n">
        <v>27</v>
      </c>
      <c r="B36" s="1" t="str">
        <f aca="false">IF(OPTIMIZER!B32="","",OPTIMIZER!B32)</f>
        <v/>
      </c>
      <c r="C36" s="1" t="str">
        <f aca="false">IF($B36="","",OPTIMIZER!F32)</f>
        <v/>
      </c>
      <c r="D36" s="1" t="str">
        <f aca="false">IF($B36="","",OPTIMIZER!T32)</f>
        <v/>
      </c>
      <c r="E36" s="28" t="str">
        <f aca="false">IF($B36="","",OPTIMIZER!E32)</f>
        <v/>
      </c>
      <c r="F36" s="80" t="str">
        <f aca="false">IF($B36="","",OPTIMIZER!G32)</f>
        <v/>
      </c>
      <c r="G36" s="28" t="str">
        <f aca="false">IF($B36="","",OPTIMIZER!H32)</f>
        <v/>
      </c>
      <c r="H36" s="81" t="str">
        <f aca="false">IF($B36="","",IFERROR(((($D36-$E36)*$F36*($D36/$C36)^($G36*$B$5))-(($C36-$E36)*$F36))*30,0))</f>
        <v/>
      </c>
      <c r="I36" s="81" t="str">
        <f aca="false">IF($B36="","",IFERROR(((($D36-$E36)*$F36*($D36/$C36)^($G36*$B$6))-(($C36-$E36)*$F36))*30,0))</f>
        <v/>
      </c>
      <c r="J36" s="81" t="str">
        <f aca="false">IF($B36="","",IFERROR(((($D36-$E36)*$F36*($D36/$C36)^($G36*$B$7))-(($C36-$E36)*$F36))*30,0))</f>
        <v/>
      </c>
      <c r="K36" s="1" t="str">
        <f aca="false">IF($B36="","",IF(AND(N($H36)&gt;=0,N($I36)&gt;=0,N($J36)&gt;=0),"Yes","No"))</f>
        <v/>
      </c>
    </row>
    <row r="37" customFormat="false" ht="15" hidden="false" customHeight="true" outlineLevel="0" collapsed="false">
      <c r="A37" s="1" t="n">
        <v>28</v>
      </c>
      <c r="B37" s="1" t="str">
        <f aca="false">IF(OPTIMIZER!B33="","",OPTIMIZER!B33)</f>
        <v/>
      </c>
      <c r="C37" s="1" t="str">
        <f aca="false">IF($B37="","",OPTIMIZER!F33)</f>
        <v/>
      </c>
      <c r="D37" s="1" t="str">
        <f aca="false">IF($B37="","",OPTIMIZER!T33)</f>
        <v/>
      </c>
      <c r="E37" s="28" t="str">
        <f aca="false">IF($B37="","",OPTIMIZER!E33)</f>
        <v/>
      </c>
      <c r="F37" s="80" t="str">
        <f aca="false">IF($B37="","",OPTIMIZER!G33)</f>
        <v/>
      </c>
      <c r="G37" s="28" t="str">
        <f aca="false">IF($B37="","",OPTIMIZER!H33)</f>
        <v/>
      </c>
      <c r="H37" s="81" t="str">
        <f aca="false">IF($B37="","",IFERROR(((($D37-$E37)*$F37*($D37/$C37)^($G37*$B$5))-(($C37-$E37)*$F37))*30,0))</f>
        <v/>
      </c>
      <c r="I37" s="81" t="str">
        <f aca="false">IF($B37="","",IFERROR(((($D37-$E37)*$F37*($D37/$C37)^($G37*$B$6))-(($C37-$E37)*$F37))*30,0))</f>
        <v/>
      </c>
      <c r="J37" s="81" t="str">
        <f aca="false">IF($B37="","",IFERROR(((($D37-$E37)*$F37*($D37/$C37)^($G37*$B$7))-(($C37-$E37)*$F37))*30,0))</f>
        <v/>
      </c>
      <c r="K37" s="1" t="str">
        <f aca="false">IF($B37="","",IF(AND(N($H37)&gt;=0,N($I37)&gt;=0,N($J37)&gt;=0),"Yes","No"))</f>
        <v/>
      </c>
    </row>
    <row r="38" customFormat="false" ht="15" hidden="false" customHeight="true" outlineLevel="0" collapsed="false">
      <c r="A38" s="1" t="n">
        <v>29</v>
      </c>
      <c r="B38" s="1" t="str">
        <f aca="false">IF(OPTIMIZER!B34="","",OPTIMIZER!B34)</f>
        <v/>
      </c>
      <c r="C38" s="1" t="str">
        <f aca="false">IF($B38="","",OPTIMIZER!F34)</f>
        <v/>
      </c>
      <c r="D38" s="1" t="str">
        <f aca="false">IF($B38="","",OPTIMIZER!T34)</f>
        <v/>
      </c>
      <c r="E38" s="28" t="str">
        <f aca="false">IF($B38="","",OPTIMIZER!E34)</f>
        <v/>
      </c>
      <c r="F38" s="80" t="str">
        <f aca="false">IF($B38="","",OPTIMIZER!G34)</f>
        <v/>
      </c>
      <c r="G38" s="28" t="str">
        <f aca="false">IF($B38="","",OPTIMIZER!H34)</f>
        <v/>
      </c>
      <c r="H38" s="81" t="str">
        <f aca="false">IF($B38="","",IFERROR(((($D38-$E38)*$F38*($D38/$C38)^($G38*$B$5))-(($C38-$E38)*$F38))*30,0))</f>
        <v/>
      </c>
      <c r="I38" s="81" t="str">
        <f aca="false">IF($B38="","",IFERROR(((($D38-$E38)*$F38*($D38/$C38)^($G38*$B$6))-(($C38-$E38)*$F38))*30,0))</f>
        <v/>
      </c>
      <c r="J38" s="81" t="str">
        <f aca="false">IF($B38="","",IFERROR(((($D38-$E38)*$F38*($D38/$C38)^($G38*$B$7))-(($C38-$E38)*$F38))*30,0))</f>
        <v/>
      </c>
      <c r="K38" s="1" t="str">
        <f aca="false">IF($B38="","",IF(AND(N($H38)&gt;=0,N($I38)&gt;=0,N($J38)&gt;=0),"Yes","No"))</f>
        <v/>
      </c>
    </row>
    <row r="39" customFormat="false" ht="15" hidden="false" customHeight="true" outlineLevel="0" collapsed="false">
      <c r="A39" s="1" t="n">
        <v>30</v>
      </c>
      <c r="B39" s="1" t="str">
        <f aca="false">IF(OPTIMIZER!B35="","",OPTIMIZER!B35)</f>
        <v/>
      </c>
      <c r="C39" s="1" t="str">
        <f aca="false">IF($B39="","",OPTIMIZER!F35)</f>
        <v/>
      </c>
      <c r="D39" s="1" t="str">
        <f aca="false">IF($B39="","",OPTIMIZER!T35)</f>
        <v/>
      </c>
      <c r="E39" s="28" t="str">
        <f aca="false">IF($B39="","",OPTIMIZER!E35)</f>
        <v/>
      </c>
      <c r="F39" s="80" t="str">
        <f aca="false">IF($B39="","",OPTIMIZER!G35)</f>
        <v/>
      </c>
      <c r="G39" s="28" t="str">
        <f aca="false">IF($B39="","",OPTIMIZER!H35)</f>
        <v/>
      </c>
      <c r="H39" s="81" t="str">
        <f aca="false">IF($B39="","",IFERROR(((($D39-$E39)*$F39*($D39/$C39)^($G39*$B$5))-(($C39-$E39)*$F39))*30,0))</f>
        <v/>
      </c>
      <c r="I39" s="81" t="str">
        <f aca="false">IF($B39="","",IFERROR(((($D39-$E39)*$F39*($D39/$C39)^($G39*$B$6))-(($C39-$E39)*$F39))*30,0))</f>
        <v/>
      </c>
      <c r="J39" s="81" t="str">
        <f aca="false">IF($B39="","",IFERROR(((($D39-$E39)*$F39*($D39/$C39)^($G39*$B$7))-(($C39-$E39)*$F39))*30,0))</f>
        <v/>
      </c>
      <c r="K39" s="1" t="str">
        <f aca="false">IF($B39="","",IF(AND(N($H39)&gt;=0,N($I39)&gt;=0,N($J39)&gt;=0),"Yes","No"))</f>
        <v/>
      </c>
    </row>
    <row r="40" customFormat="false" ht="15" hidden="false" customHeight="true" outlineLevel="0" collapsed="false">
      <c r="B40" s="82" t="s">
        <v>290</v>
      </c>
      <c r="C40" s="82"/>
      <c r="D40" s="82"/>
      <c r="E40" s="82"/>
      <c r="F40" s="82"/>
      <c r="G40" s="82"/>
      <c r="H40" s="83" t="n">
        <f aca="false">SUM(H10:H39)</f>
        <v>247.967257437968</v>
      </c>
      <c r="I40" s="83" t="n">
        <f aca="false">SUM(I10:I39)</f>
        <v>372.232045824101</v>
      </c>
      <c r="J40" s="83" t="n">
        <f aca="false">SUM(J10:J39)</f>
        <v>497.252554462508</v>
      </c>
      <c r="K40" s="82"/>
    </row>
    <row r="41" customFormat="false" ht="15" hidden="false" customHeight="true" outlineLevel="0" collapsed="false">
      <c r="B41" s="1" t="s">
        <v>302</v>
      </c>
      <c r="I41" s="81" t="n">
        <f aca="false">opt_total_lift</f>
        <v>372.232045824101</v>
      </c>
      <c r="K41" s="1" t="str">
        <f aca="false">IF(ABS(I40-I41)&lt;0.01,"Match","MISMATCH")</f>
        <v>Match</v>
      </c>
    </row>
    <row r="43" customFormat="false" ht="15" hidden="false" customHeight="true" outlineLevel="0" collapsed="false">
      <c r="B43" s="1" t="s">
        <v>303</v>
      </c>
      <c r="H43" s="1" t="str">
        <f aca="false">IF(H40&gt;=0,"Yes","No")</f>
        <v>Yes</v>
      </c>
      <c r="I43" s="1" t="str">
        <f aca="false">IF(I40&gt;=0,"Yes","No")</f>
        <v>Yes</v>
      </c>
      <c r="J43" s="1" t="str">
        <f aca="false">IF(J40&gt;=0,"Yes","No")</f>
        <v>Yes</v>
      </c>
    </row>
    <row r="44" customFormat="false" ht="15" hidden="false" customHeight="true" outlineLevel="0" collapsed="false">
      <c r="B44" s="1" t="s">
        <v>304</v>
      </c>
      <c r="H44" s="84" t="str">
        <f aca="false">IF(AND(H40&gt;=0,I40&gt;=0,J40&gt;=0),"YES — all positive","NO — at least one negative scenario")</f>
        <v>YES — all positive</v>
      </c>
      <c r="I44" s="84"/>
      <c r="J44" s="84"/>
      <c r="K44" s="84"/>
    </row>
  </sheetData>
  <mergeCells count="2">
    <mergeCell ref="A3:K3"/>
    <mergeCell ref="H44:K44"/>
  </mergeCells>
  <dataValidations count="1">
    <dataValidation allowBlank="false" errorStyle="stop" operator="between" prompt="Scales the baseline elasticity. &gt;1 = more sensitive, &lt;1 = less sensitive. Defaults: 1.2 / 1.0 / 0.8." promptTitle="Elasticity multiplier" showDropDown="false" showErrorMessage="false" showInputMessage="true" sqref="B5:B7" type="decimal">
      <formula1>0.1</formula1>
      <formula2>3</formula2>
    </dataValidation>
  </dataValidations>
  <printOptions headings="false" gridLines="false" gridLinesSet="true" horizontalCentered="false" verticalCentered="false"/>
  <pageMargins left="0.5" right="0.5"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E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2"/>
    <col collapsed="false" customWidth="true" hidden="false" outlineLevel="0" max="4" min="3" style="1" width="11"/>
    <col collapsed="false" customWidth="true" hidden="false" outlineLevel="0" max="5" min="5" style="1" width="60"/>
  </cols>
  <sheetData>
    <row r="1" customFormat="false" ht="25.5" hidden="false" customHeight="true" outlineLevel="0" collapsed="false">
      <c r="A1" s="2" t="s">
        <v>305</v>
      </c>
      <c r="B1" s="2"/>
      <c r="C1" s="2"/>
      <c r="D1" s="2"/>
      <c r="E1" s="2"/>
    </row>
    <row r="3" customFormat="false" ht="39.75" hidden="false" customHeight="true" outlineLevel="0" collapsed="false">
      <c r="A3" s="13" t="s">
        <v>306</v>
      </c>
      <c r="B3" s="13"/>
      <c r="C3" s="13"/>
      <c r="D3" s="13"/>
      <c r="E3" s="13"/>
    </row>
    <row r="5" customFormat="false" ht="15" hidden="false" customHeight="true" outlineLevel="0" collapsed="false">
      <c r="A5" s="8" t="s">
        <v>307</v>
      </c>
      <c r="B5" s="8"/>
      <c r="C5" s="8"/>
      <c r="D5" s="8"/>
      <c r="E5" s="8"/>
    </row>
    <row r="6" customFormat="false" ht="15" hidden="false" customHeight="true" outlineLevel="0" collapsed="false">
      <c r="A6" s="9" t="s">
        <v>308</v>
      </c>
      <c r="B6" s="45" t="n">
        <f aca="false">COUNTA(OWNER_INPUTS!B6:B35)</f>
        <v>6</v>
      </c>
      <c r="C6" s="11" t="s">
        <v>309</v>
      </c>
      <c r="D6" s="11"/>
      <c r="E6" s="11"/>
    </row>
    <row r="7" customFormat="false" ht="15" hidden="false" customHeight="true" outlineLevel="0" collapsed="false">
      <c r="A7" s="9" t="s">
        <v>310</v>
      </c>
      <c r="B7" s="45" t="n">
        <f aca="false">COUNTIF(OPTIMIZER!J6:J35,"HIGH")</f>
        <v>0</v>
      </c>
      <c r="C7" s="11" t="s">
        <v>311</v>
      </c>
      <c r="D7" s="11"/>
      <c r="E7" s="11"/>
    </row>
    <row r="8" customFormat="false" ht="15" hidden="false" customHeight="true" outlineLevel="0" collapsed="false">
      <c r="A8" s="9" t="s">
        <v>312</v>
      </c>
      <c r="B8" s="45" t="n">
        <f aca="false">COUNTIF(OPTIMIZER!J6:J35,"MEDIUM")</f>
        <v>0</v>
      </c>
      <c r="C8" s="11" t="s">
        <v>313</v>
      </c>
      <c r="D8" s="11"/>
      <c r="E8" s="11"/>
    </row>
    <row r="9" customFormat="false" ht="15" hidden="false" customHeight="true" outlineLevel="0" collapsed="false">
      <c r="A9" s="9" t="s">
        <v>314</v>
      </c>
      <c r="B9" s="45" t="n">
        <f aca="false">COUNTIF(OPTIMIZER!J6:J35,"LOW")</f>
        <v>6</v>
      </c>
      <c r="C9" s="11" t="s">
        <v>315</v>
      </c>
      <c r="D9" s="11"/>
      <c r="E9" s="11"/>
    </row>
    <row r="10" customFormat="false" ht="23.25" hidden="false" customHeight="true" outlineLevel="0" collapsed="false">
      <c r="A10" s="9" t="s">
        <v>316</v>
      </c>
      <c r="B10" s="15" t="str">
        <f aca="false">IF(cfg_use_sample="Yes","YES — DEMO","No — production")</f>
        <v>No — production</v>
      </c>
      <c r="C10" s="11" t="s">
        <v>317</v>
      </c>
      <c r="D10" s="11"/>
      <c r="E10" s="11"/>
    </row>
    <row r="12" customFormat="false" ht="15" hidden="false" customHeight="true" outlineLevel="0" collapsed="false">
      <c r="A12" s="8" t="s">
        <v>318</v>
      </c>
      <c r="B12" s="8"/>
      <c r="C12" s="8"/>
      <c r="D12" s="8"/>
      <c r="E12" s="8"/>
    </row>
    <row r="13" customFormat="false" ht="30" hidden="false" customHeight="true" outlineLevel="0" collapsed="false">
      <c r="A13" s="14" t="s">
        <v>319</v>
      </c>
      <c r="B13" s="14" t="s">
        <v>320</v>
      </c>
      <c r="C13" s="14" t="s">
        <v>321</v>
      </c>
      <c r="D13" s="14" t="s">
        <v>322</v>
      </c>
      <c r="E13" s="14" t="s">
        <v>323</v>
      </c>
    </row>
    <row r="14" customFormat="false" ht="36" hidden="false" customHeight="true" outlineLevel="0" collapsed="false">
      <c r="A14" s="9" t="s">
        <v>324</v>
      </c>
      <c r="B14" s="66" t="n">
        <f aca="false">SUMPRODUCT((OWNER_INPUTS!B6:B35&lt;&gt;"")*(OWNER_INPUTS!C6:C35=""))</f>
        <v>0</v>
      </c>
      <c r="C14" s="15" t="str">
        <f aca="false">IF(B14=0,"OK","FLAG")</f>
        <v>OK</v>
      </c>
      <c r="D14" s="45" t="s">
        <v>325</v>
      </c>
      <c r="E14" s="85" t="s">
        <v>326</v>
      </c>
    </row>
    <row r="15" customFormat="false" ht="36" hidden="false" customHeight="true" outlineLevel="0" collapsed="false">
      <c r="A15" s="9" t="s">
        <v>327</v>
      </c>
      <c r="B15" s="66" t="n">
        <f aca="false">SUMPRODUCT((OWNER_INPUTS!B6:B35&lt;&gt;"")*(OWNER_INPUTS!D6:D35=""))</f>
        <v>0</v>
      </c>
      <c r="C15" s="15" t="str">
        <f aca="false">IF(B15=0,"OK","FLAG")</f>
        <v>OK</v>
      </c>
      <c r="D15" s="45" t="s">
        <v>325</v>
      </c>
      <c r="E15" s="85" t="s">
        <v>328</v>
      </c>
    </row>
    <row r="16" customFormat="false" ht="36" hidden="false" customHeight="true" outlineLevel="0" collapsed="false">
      <c r="A16" s="9" t="s">
        <v>329</v>
      </c>
      <c r="B16" s="66" t="n">
        <f aca="false">SUMPRODUCT((OWNER_INPUTS!B6:B35&lt;&gt;"")*(N(OWNER_INPUTS!E6:E35)&gt;=N(OWNER_INPUTS!F6:F35))*(N(OWNER_INPUTS!F6:F35)&gt;0))</f>
        <v>0</v>
      </c>
      <c r="C16" s="15" t="str">
        <f aca="false">IF(B16=0,"OK","FLAG")</f>
        <v>OK</v>
      </c>
      <c r="D16" s="45" t="s">
        <v>325</v>
      </c>
      <c r="E16" s="85" t="s">
        <v>330</v>
      </c>
    </row>
    <row r="17" customFormat="false" ht="36" hidden="false" customHeight="true" outlineLevel="0" collapsed="false">
      <c r="A17" s="9" t="s">
        <v>331</v>
      </c>
      <c r="B17" s="66" t="n">
        <f aca="false">SUMPRODUCT((OWNER_INPUTS!B6:B35&lt;&gt;"")*(N(OWNER_INPUTS!G6:G35)=0))</f>
        <v>0</v>
      </c>
      <c r="C17" s="15" t="str">
        <f aca="false">IF(B17=0,"OK","FLAG")</f>
        <v>OK</v>
      </c>
      <c r="D17" s="45" t="s">
        <v>325</v>
      </c>
      <c r="E17" s="85" t="s">
        <v>332</v>
      </c>
    </row>
    <row r="18" customFormat="false" ht="36" hidden="false" customHeight="true" outlineLevel="0" collapsed="false">
      <c r="A18" s="86" t="s">
        <v>333</v>
      </c>
      <c r="B18" s="87" t="n">
        <f aca="false">SUMPRODUCT((OPTIMIZER!B6:B35&lt;&gt;"")*(N(OPTIMIZER!M6:M35)&gt;N(OPTIMIZER!F6:F35)*(1+N(OPTIMIZER!N6:N35))))</f>
        <v>1</v>
      </c>
      <c r="C18" s="88" t="str">
        <f aca="false">IF(B18=0,"OK","FLAG")</f>
        <v>FLAG</v>
      </c>
      <c r="D18" s="89" t="s">
        <v>334</v>
      </c>
      <c r="E18" s="90" t="s">
        <v>335</v>
      </c>
    </row>
    <row r="19" customFormat="false" ht="36" hidden="false" customHeight="true" outlineLevel="0" collapsed="false">
      <c r="A19" s="86" t="s">
        <v>336</v>
      </c>
      <c r="B19" s="87" t="n">
        <f aca="false">SUMPRODUCT((OPTIMIZER!B6:B35&lt;&gt;"")*(N(OPTIMIZER!M6:M35)&lt;N(OPTIMIZER!F6:F35)*(1+N(OPTIMIZER!O6:O35))))</f>
        <v>0</v>
      </c>
      <c r="C19" s="88" t="str">
        <f aca="false">IF(B19=0,"OK","FLAG")</f>
        <v>OK</v>
      </c>
      <c r="D19" s="89" t="s">
        <v>334</v>
      </c>
      <c r="E19" s="90" t="s">
        <v>337</v>
      </c>
    </row>
    <row r="20" customFormat="false" ht="36" hidden="false" customHeight="true" outlineLevel="0" collapsed="false">
      <c r="A20" s="9" t="s">
        <v>338</v>
      </c>
      <c r="B20" s="66" t="n">
        <f aca="false">SUMPRODUCT((OPTIMIZER!B6:B35&lt;&gt;"")*(OPTIMIZER!I6:I35="Estimated")*(N(CALIBRATION!I6:I35)&gt;0))</f>
        <v>0</v>
      </c>
      <c r="C20" s="15" t="str">
        <f aca="false">IF(B20=0,"OK","FLAG")</f>
        <v>OK</v>
      </c>
      <c r="D20" s="45" t="s">
        <v>334</v>
      </c>
      <c r="E20" s="85" t="s">
        <v>339</v>
      </c>
    </row>
    <row r="21" customFormat="false" ht="36" hidden="false" customHeight="true" outlineLevel="0" collapsed="false">
      <c r="A21" s="9" t="s">
        <v>340</v>
      </c>
      <c r="B21" s="66" t="n">
        <f aca="false">SUMPRODUCT((OPTIMIZER!B6:B35&lt;&gt;"")*(ABS(N(OPTIMIZER!U6:U35))&gt;0.05))</f>
        <v>1</v>
      </c>
      <c r="C21" s="15" t="str">
        <f aca="false">IF(B21=0,"OK","FLAG")</f>
        <v>FLAG</v>
      </c>
      <c r="D21" s="45" t="s">
        <v>341</v>
      </c>
      <c r="E21" s="85" t="s">
        <v>342</v>
      </c>
    </row>
    <row r="22" customFormat="false" ht="36" hidden="false" customHeight="true" outlineLevel="0" collapsed="false">
      <c r="A22" s="9" t="s">
        <v>343</v>
      </c>
      <c r="B22" s="66" t="n">
        <f aca="false">SUMPRODUCT((OPTIMIZER!B6:B35&lt;&gt;"")*(N(OPTIMIZER!X6:X35)&lt;-0.001))</f>
        <v>0</v>
      </c>
      <c r="C22" s="15" t="str">
        <f aca="false">IF(B22=0,"OK","FLAG")</f>
        <v>OK</v>
      </c>
      <c r="D22" s="45" t="s">
        <v>334</v>
      </c>
      <c r="E22" s="85" t="s">
        <v>344</v>
      </c>
    </row>
    <row r="23" customFormat="false" ht="36" hidden="false" customHeight="true" outlineLevel="0" collapsed="false">
      <c r="A23" s="9" t="s">
        <v>345</v>
      </c>
      <c r="B23" s="66" t="n">
        <f aca="false">SUMPRODUCT((OPTIMIZER!B6:B35&lt;&gt;"")*(ABS(N(OPTIMIZER!R6:R35)-N(OPTIMIZER!Q6:Q35))&gt;0.001))</f>
        <v>2</v>
      </c>
      <c r="C23" s="15" t="str">
        <f aca="false">IF(B23=0,"OK","FLAG")</f>
        <v>FLAG</v>
      </c>
      <c r="D23" s="45" t="s">
        <v>341</v>
      </c>
      <c r="E23" s="85" t="s">
        <v>346</v>
      </c>
    </row>
    <row r="24" customFormat="false" ht="15" hidden="false" customHeight="true" outlineLevel="0" collapsed="false">
      <c r="A24" s="91" t="s">
        <v>347</v>
      </c>
      <c r="B24" s="24" t="n">
        <f aca="false">SUMPRODUCT((OPTIMIZER!B6:B35&lt;&gt;"")*(N(OPTIMIZER!E6:E35)&gt;=N(OPTIMIZER!F6:F35))*(N(OPTIMIZER!U6:U35)&gt;0))</f>
        <v>0</v>
      </c>
      <c r="C24" s="24" t="str">
        <f aca="false">IF(B24=0,"OK","FLAG")</f>
        <v>OK</v>
      </c>
      <c r="D24" s="91" t="s">
        <v>325</v>
      </c>
      <c r="E24" s="26" t="s">
        <v>348</v>
      </c>
    </row>
    <row r="25" customFormat="false" ht="15" hidden="false" customHeight="true" outlineLevel="0" collapsed="false">
      <c r="A25" s="8" t="s">
        <v>349</v>
      </c>
      <c r="B25" s="8"/>
      <c r="C25" s="8"/>
      <c r="D25" s="8"/>
      <c r="E25" s="8"/>
    </row>
    <row r="26" customFormat="false" ht="27.75" hidden="false" customHeight="true" outlineLevel="0" collapsed="false">
      <c r="A26" s="14" t="s">
        <v>319</v>
      </c>
      <c r="B26" s="14" t="s">
        <v>350</v>
      </c>
      <c r="C26" s="14" t="s">
        <v>321</v>
      </c>
      <c r="D26" s="14" t="s">
        <v>322</v>
      </c>
      <c r="E26" s="14" t="s">
        <v>168</v>
      </c>
    </row>
    <row r="27" customFormat="false" ht="30" hidden="false" customHeight="true" outlineLevel="0" collapsed="false">
      <c r="A27" s="9" t="s">
        <v>351</v>
      </c>
      <c r="B27" s="15" t="str">
        <f aca="false">IF(SUMPRODUCT((OPTIMIZER!B6:B35&lt;&gt;"")*(N(OPTIMIZER!H6:H35)&gt;=0))=0,"OK","FAIL")</f>
        <v>OK</v>
      </c>
      <c r="C27" s="15" t="str">
        <f aca="false">B27</f>
        <v>OK</v>
      </c>
      <c r="D27" s="45" t="s">
        <v>325</v>
      </c>
      <c r="E27" s="85" t="s">
        <v>352</v>
      </c>
    </row>
    <row r="28" customFormat="false" ht="30" hidden="false" customHeight="true" outlineLevel="0" collapsed="false">
      <c r="A28" s="9" t="s">
        <v>353</v>
      </c>
      <c r="B28" s="15" t="str">
        <f aca="false">IF(SUMPRODUCT((OPTIMIZER!B6:B35&lt;&gt;"")*(N(OPTIMIZER!T6:T35)&lt;=0))=0,"OK","FAIL")</f>
        <v>OK</v>
      </c>
      <c r="C28" s="15" t="str">
        <f aca="false">B28</f>
        <v>OK</v>
      </c>
      <c r="D28" s="45" t="s">
        <v>325</v>
      </c>
      <c r="E28" s="85" t="s">
        <v>354</v>
      </c>
    </row>
    <row r="29" customFormat="false" ht="30" hidden="false" customHeight="true" outlineLevel="0" collapsed="false">
      <c r="A29" s="9" t="s">
        <v>355</v>
      </c>
      <c r="B29" s="15" t="str">
        <f aca="false">IF(SUMPRODUCT((OPTIMIZER!B6:B35&lt;&gt;"")*((N(OPTIMIZER!U6:U35)&gt;cfg_max_raise+0.0001)+(N(OPTIMIZER!U6:U35)&lt;cfg_max_cut-0.0001)))=0,"OK","FAIL")</f>
        <v>OK</v>
      </c>
      <c r="C29" s="15" t="str">
        <f aca="false">B29</f>
        <v>OK</v>
      </c>
      <c r="D29" s="45" t="s">
        <v>325</v>
      </c>
      <c r="E29" s="85" t="s">
        <v>356</v>
      </c>
    </row>
    <row r="30" customFormat="false" ht="30" hidden="false" customHeight="true" outlineLevel="0" collapsed="false">
      <c r="A30" s="9" t="s">
        <v>357</v>
      </c>
      <c r="B30" s="15" t="str">
        <f aca="false">IF(opt_baseline&gt;0,"OK","FAIL")</f>
        <v>OK</v>
      </c>
      <c r="C30" s="15" t="str">
        <f aca="false">B30</f>
        <v>OK</v>
      </c>
      <c r="D30" s="45" t="s">
        <v>325</v>
      </c>
      <c r="E30" s="85" t="s">
        <v>358</v>
      </c>
    </row>
    <row r="31" customFormat="false" ht="30" hidden="false" customHeight="true" outlineLevel="0" collapsed="false">
      <c r="A31" s="9" t="s">
        <v>359</v>
      </c>
      <c r="B31" s="15" t="str">
        <f aca="false">IF(ABS(opt_lift_pct)&lt;0.2,"OK","FAIL")</f>
        <v>OK</v>
      </c>
      <c r="C31" s="15" t="str">
        <f aca="false">B31</f>
        <v>OK</v>
      </c>
      <c r="D31" s="45" t="s">
        <v>325</v>
      </c>
      <c r="E31" s="85" t="s">
        <v>360</v>
      </c>
    </row>
    <row r="32" customFormat="false" ht="15" hidden="false" customHeight="true" outlineLevel="0" collapsed="false">
      <c r="A32" s="91" t="s">
        <v>361</v>
      </c>
      <c r="B32" s="24" t="n">
        <f aca="false">IFERROR(IF(SUMPRODUCT(ABS(N(OPTIMIZER!X6:X35))*(OPTIMIZER!B6:B35&lt;&gt;""))&gt;0,SUMPRODUCT(ABS(N(OPTIMIZER!X6:X35))*((OPTIMIZER!J6:J35="HIGH")*1+(OPTIMIZER!J6:J35="MEDIUM")*0.5+(OPTIMIZER!J6:J35="LOW")*0.25))/SUMPRODUCT(ABS(N(OPTIMIZER!X6:X35))*(OPTIMIZER!B6:B35&lt;&gt;"")),IF(COUNTIF(OPTIMIZER!B6:B35,"?*")&gt;0,(COUNTIF(OPTIMIZER!J6:J35,"HIGH")*1+COUNTIF(OPTIMIZER!J6:J35,"MEDIUM")*0.5+COUNTIF(OPTIMIZER!J6:J35,"LOW")*0.25)/COUNTIF(OPTIMIZER!B6:B35,"?*"),0)),0)</f>
        <v>0.25</v>
      </c>
      <c r="C32" s="24" t="str">
        <f aca="false">IF(B32&gt;=0.85,"HIGH",IF(B32&gt;=0.5,"MEDIUM","LOW"))</f>
        <v>LOW</v>
      </c>
      <c r="D32" s="91" t="s">
        <v>341</v>
      </c>
      <c r="E32" s="26" t="s">
        <v>362</v>
      </c>
    </row>
    <row r="33" customFormat="false" ht="15" hidden="false" customHeight="true" outlineLevel="0" collapsed="false">
      <c r="A33" s="91" t="s">
        <v>363</v>
      </c>
      <c r="B33" s="24" t="n">
        <f aca="false">COUNTIF(COMPETITOR_BENCHMARK!K9:K38,"Above market")</f>
        <v>0</v>
      </c>
      <c r="C33" s="24" t="str">
        <f aca="false">IF(B33=0,"OK","FLAG")</f>
        <v>OK</v>
      </c>
      <c r="D33" s="91" t="s">
        <v>341</v>
      </c>
      <c r="E33" s="26" t="s">
        <v>364</v>
      </c>
    </row>
    <row r="34" customFormat="false" ht="15" hidden="false" customHeight="true" outlineLevel="0" collapsed="false">
      <c r="A34" s="91" t="s">
        <v>365</v>
      </c>
      <c r="B34" s="24" t="n">
        <f aca="false">COUNTIF(MENU_ENGINEERING!K10:K39,"Dog")</f>
        <v>2</v>
      </c>
      <c r="C34" s="24" t="str">
        <f aca="false">IF(B34=0,"OK","FLAG")</f>
        <v>FLAG</v>
      </c>
      <c r="D34" s="91" t="s">
        <v>341</v>
      </c>
      <c r="E34" s="26" t="s">
        <v>366</v>
      </c>
    </row>
    <row r="35" customFormat="false" ht="15" hidden="false" customHeight="true" outlineLevel="0" collapsed="false">
      <c r="A35" s="91" t="s">
        <v>367</v>
      </c>
      <c r="B35" s="24" t="n">
        <f aca="false">COUNTIF(SENSITIVITY!H10:H39,"&lt;0")</f>
        <v>2</v>
      </c>
      <c r="C35" s="24" t="str">
        <f aca="false">IF(B35=0,"OK","FLAG")</f>
        <v>FLAG</v>
      </c>
      <c r="D35" s="91" t="s">
        <v>334</v>
      </c>
      <c r="E35" s="26" t="s">
        <v>368</v>
      </c>
    </row>
    <row r="36" customFormat="false" ht="15" hidden="false" customHeight="false" outlineLevel="0" collapsed="false">
      <c r="A36" s="5" t="s">
        <v>369</v>
      </c>
    </row>
    <row r="37" customFormat="false" ht="15" hidden="false" customHeight="false" outlineLevel="0" collapsed="false">
      <c r="A37" s="24" t="s">
        <v>370</v>
      </c>
      <c r="B37" s="92" t="n">
        <f aca="false">SUMPRODUCT(($D14:$D24="Hard")*(($C14:$C24="FLAG")+($C14:$C24="FAIL")))+SUMPRODUCT(($D27:$D35="Hard")*(($C27:$C35="FLAG")+($C27:$C35="FAIL")))</f>
        <v>0</v>
      </c>
      <c r="C37" s="26" t="str">
        <f aca="false">IF(B37=0,"✓ Ready to deliver","✗ Fix before delivery")</f>
        <v>✓ Ready to deliver</v>
      </c>
    </row>
    <row r="38" customFormat="false" ht="15" hidden="false" customHeight="false" outlineLevel="0" collapsed="false">
      <c r="A38" s="24" t="s">
        <v>371</v>
      </c>
      <c r="B38" s="92" t="n">
        <f aca="false">SUMPRODUCT(($D14:$D24="Soft")*(($C14:$C24="FLAG")+($C14:$C24="FAIL")))+SUMPRODUCT(($D27:$D35="Soft")*(($C27:$C35="FLAG")+($C27:$C35="FAIL")))</f>
        <v>2</v>
      </c>
      <c r="C38" s="26" t="str">
        <f aca="false">IF(B38=0,"All clear","Review before delivery")</f>
        <v>Review before delivery</v>
      </c>
    </row>
    <row r="39" customFormat="false" ht="15" hidden="false" customHeight="false" outlineLevel="0" collapsed="false">
      <c r="A39" s="24" t="s">
        <v>372</v>
      </c>
      <c r="B39" s="92" t="n">
        <f aca="false">SUMPRODUCT(($D14:$D24="Info")*(($C14:$C24="FLAG")+($C14:$C24="FAIL")))+SUMPRODUCT(($D27:$D35="Info")*(($C27:$C35="FLAG")+($C27:$C35="FAIL")))</f>
        <v>3</v>
      </c>
      <c r="C39" s="26" t="str">
        <f aca="false">IF(B39=0,"No notes","Worth mentioning")</f>
        <v>Worth mentioning</v>
      </c>
    </row>
  </sheetData>
  <mergeCells count="10">
    <mergeCell ref="A1:E1"/>
    <mergeCell ref="A3:E3"/>
    <mergeCell ref="A5:E5"/>
    <mergeCell ref="C6:E6"/>
    <mergeCell ref="C7:E7"/>
    <mergeCell ref="C8:E8"/>
    <mergeCell ref="C9:E9"/>
    <mergeCell ref="C10:E10"/>
    <mergeCell ref="A12:E12"/>
    <mergeCell ref="A25:E25"/>
  </mergeCells>
  <conditionalFormatting sqref="B10">
    <cfRule type="expression" priority="2" aboveAverage="0" equalAverage="0" bottom="0" percent="0" rank="0" text="" dxfId="11">
      <formula>B10="YES — DEMO"</formula>
    </cfRule>
    <cfRule type="expression" priority="3" aboveAverage="0" equalAverage="0" bottom="0" percent="0" rank="0" text="" dxfId="12">
      <formula>B10="No — production"</formula>
    </cfRule>
  </conditionalFormatting>
  <conditionalFormatting sqref="C14:C25">
    <cfRule type="expression" priority="4" aboveAverage="0" equalAverage="0" bottom="0" percent="0" rank="0" text="" dxfId="13">
      <formula>C14="OK"</formula>
    </cfRule>
    <cfRule type="expression" priority="5" aboveAverage="0" equalAverage="0" bottom="0" percent="0" rank="0" text="" dxfId="14">
      <formula>C14="FLAG"</formula>
    </cfRule>
  </conditionalFormatting>
  <conditionalFormatting sqref="C27:C31">
    <cfRule type="expression" priority="6" aboveAverage="0" equalAverage="0" bottom="0" percent="0" rank="0" text="" dxfId="13">
      <formula>C27="OK"</formula>
    </cfRule>
    <cfRule type="expression" priority="7" aboveAverage="0" equalAverage="0" bottom="0" percent="0" rank="0" text="" dxfId="14">
      <formula>C27="FAIL"</formula>
    </cfRule>
  </conditionalFormatting>
  <conditionalFormatting sqref="C37">
    <cfRule type="expression" priority="8" aboveAverage="0" equalAverage="0" bottom="0" percent="0" rank="0" text="" dxfId="15">
      <formula>$B$37=0</formula>
    </cfRule>
    <cfRule type="expression" priority="9" aboveAverage="0" equalAverage="0" bottom="0" percent="0" rank="0" text="" dxfId="16">
      <formula>$B$37&gt;0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2026-05-17T18:03:11Z</dcterms:created>
  <dc:creator>openpyxl</dc:creator>
  <dc:description/>
  <dc:language>en-US</dc:language>
  <cp:lastModifiedBy/>
  <dcterms:modified xsi:type="dcterms:W3CDTF">2026-05-22T18:32:06Z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